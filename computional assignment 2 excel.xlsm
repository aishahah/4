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ishaahmed/Desktop/aisha stuff/"/>
    </mc:Choice>
  </mc:AlternateContent>
  <xr:revisionPtr revIDLastSave="0" documentId="13_ncr:1_{604607E5-ECEA-E840-AF54-16B8DCC0CBE1}" xr6:coauthVersionLast="47" xr6:coauthVersionMax="47" xr10:uidLastSave="{00000000-0000-0000-0000-000000000000}"/>
  <bookViews>
    <workbookView xWindow="0" yWindow="720" windowWidth="29400" windowHeight="18400" activeTab="6" xr2:uid="{838B7686-F6A2-1840-AF45-A49B7195C271}"/>
  </bookViews>
  <sheets>
    <sheet name="Q1,Q2" sheetId="1" r:id="rId1"/>
    <sheet name="Q3 MACD" sheetId="3" r:id="rId2"/>
    <sheet name=" Q3 RSI" sheetId="4" r:id="rId3"/>
    <sheet name="Q3 BB" sheetId="5" r:id="rId4"/>
    <sheet name=" Q3 kD" sheetId="6" r:id="rId5"/>
    <sheet name="Q5" sheetId="10" r:id="rId6"/>
    <sheet name="Q6" sheetId="11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B11" i="11"/>
  <c r="C11" i="11" s="1"/>
  <c r="B12" i="11"/>
  <c r="C12" i="11" s="1"/>
  <c r="B13" i="11"/>
  <c r="C13" i="11" s="1"/>
  <c r="B14" i="11"/>
  <c r="C14" i="11" s="1"/>
  <c r="B15" i="11"/>
  <c r="C15" i="11" s="1"/>
  <c r="B16" i="11"/>
  <c r="C16" i="11" s="1"/>
  <c r="B17" i="11"/>
  <c r="C17" i="11" s="1"/>
  <c r="B18" i="11"/>
  <c r="C18" i="11" s="1"/>
  <c r="B19" i="11"/>
  <c r="C19" i="11" s="1"/>
  <c r="B20" i="11"/>
  <c r="C20" i="11" s="1"/>
  <c r="B21" i="11"/>
  <c r="C21" i="11" s="1"/>
  <c r="B22" i="11"/>
  <c r="C22" i="11" s="1"/>
  <c r="B23" i="11"/>
  <c r="C23" i="11" s="1"/>
  <c r="B24" i="11"/>
  <c r="C24" i="11" s="1"/>
  <c r="B25" i="11"/>
  <c r="C25" i="11" s="1"/>
  <c r="B26" i="11"/>
  <c r="C26" i="11" s="1"/>
  <c r="B27" i="11"/>
  <c r="C27" i="11" s="1"/>
  <c r="B28" i="11"/>
  <c r="C28" i="11" s="1"/>
  <c r="B29" i="11"/>
  <c r="C29" i="11" s="1"/>
  <c r="B30" i="11"/>
  <c r="C30" i="11" s="1"/>
  <c r="B31" i="11"/>
  <c r="C31" i="11" s="1"/>
  <c r="B32" i="11"/>
  <c r="C32" i="11" s="1"/>
  <c r="B33" i="11"/>
  <c r="C33" i="11" s="1"/>
  <c r="B34" i="11"/>
  <c r="C34" i="11" s="1"/>
  <c r="B35" i="11"/>
  <c r="C35" i="11" s="1"/>
  <c r="B36" i="11"/>
  <c r="C36" i="11" s="1"/>
  <c r="B37" i="11"/>
  <c r="C37" i="11" s="1"/>
  <c r="B38" i="11"/>
  <c r="C38" i="11" s="1"/>
  <c r="B39" i="11"/>
  <c r="C39" i="11" s="1"/>
  <c r="B40" i="11"/>
  <c r="C40" i="11" s="1"/>
  <c r="B41" i="11"/>
  <c r="C41" i="11" s="1"/>
  <c r="B42" i="11"/>
  <c r="C42" i="11" s="1"/>
  <c r="B43" i="11"/>
  <c r="C43" i="11" s="1"/>
  <c r="B44" i="11"/>
  <c r="C44" i="11" s="1"/>
  <c r="B45" i="11"/>
  <c r="C45" i="11" s="1"/>
  <c r="B46" i="11"/>
  <c r="C46" i="11" s="1"/>
  <c r="B47" i="11"/>
  <c r="C47" i="11" s="1"/>
  <c r="B48" i="11"/>
  <c r="C48" i="11" s="1"/>
  <c r="B49" i="11"/>
  <c r="C49" i="11" s="1"/>
  <c r="B50" i="11"/>
  <c r="C50" i="11" s="1"/>
  <c r="B51" i="11"/>
  <c r="C51" i="11" s="1"/>
  <c r="B52" i="11"/>
  <c r="C52" i="11" s="1"/>
  <c r="B53" i="11"/>
  <c r="C53" i="11" s="1"/>
  <c r="B54" i="11"/>
  <c r="C54" i="11" s="1"/>
  <c r="B55" i="11"/>
  <c r="C55" i="11" s="1"/>
  <c r="B56" i="11"/>
  <c r="C56" i="11" s="1"/>
  <c r="B57" i="11"/>
  <c r="C57" i="11" s="1"/>
  <c r="B58" i="11"/>
  <c r="C58" i="11" s="1"/>
  <c r="B59" i="11"/>
  <c r="C59" i="11" s="1"/>
  <c r="B60" i="11"/>
  <c r="C60" i="11" s="1"/>
  <c r="B61" i="11"/>
  <c r="C61" i="11" s="1"/>
  <c r="B62" i="11"/>
  <c r="C62" i="11" s="1"/>
  <c r="B63" i="11"/>
  <c r="C63" i="11" s="1"/>
  <c r="B64" i="11"/>
  <c r="C64" i="11" s="1"/>
  <c r="B65" i="11"/>
  <c r="C65" i="11" s="1"/>
  <c r="B66" i="11"/>
  <c r="C66" i="11" s="1"/>
  <c r="B67" i="11"/>
  <c r="C67" i="11" s="1"/>
  <c r="B68" i="11"/>
  <c r="C68" i="11" s="1"/>
  <c r="B69" i="11"/>
  <c r="C69" i="11" s="1"/>
  <c r="B70" i="11"/>
  <c r="C70" i="11" s="1"/>
  <c r="B71" i="11"/>
  <c r="C71" i="11" s="1"/>
  <c r="B72" i="11"/>
  <c r="C72" i="11" s="1"/>
  <c r="B73" i="11"/>
  <c r="C73" i="11" s="1"/>
  <c r="B74" i="11"/>
  <c r="C74" i="11" s="1"/>
  <c r="B75" i="11"/>
  <c r="C75" i="11" s="1"/>
  <c r="B76" i="11"/>
  <c r="C76" i="11" s="1"/>
  <c r="B77" i="11"/>
  <c r="C77" i="11" s="1"/>
  <c r="B78" i="11"/>
  <c r="C78" i="11" s="1"/>
  <c r="B79" i="11"/>
  <c r="C79" i="11" s="1"/>
  <c r="B80" i="11"/>
  <c r="C80" i="11" s="1"/>
  <c r="B81" i="11"/>
  <c r="C81" i="11" s="1"/>
  <c r="B82" i="11"/>
  <c r="C82" i="11" s="1"/>
  <c r="B83" i="11"/>
  <c r="C83" i="11" s="1"/>
  <c r="B84" i="11"/>
  <c r="C84" i="11" s="1"/>
  <c r="B85" i="11"/>
  <c r="C85" i="11" s="1"/>
  <c r="B86" i="11"/>
  <c r="C86" i="11" s="1"/>
  <c r="B87" i="11"/>
  <c r="C87" i="11" s="1"/>
  <c r="B88" i="11"/>
  <c r="C88" i="11" s="1"/>
  <c r="B89" i="11"/>
  <c r="C89" i="11" s="1"/>
  <c r="B90" i="11"/>
  <c r="C90" i="11" s="1"/>
  <c r="B91" i="11"/>
  <c r="C91" i="11" s="1"/>
  <c r="B92" i="11"/>
  <c r="C92" i="11" s="1"/>
  <c r="B93" i="11"/>
  <c r="C93" i="11" s="1"/>
  <c r="B94" i="11"/>
  <c r="C94" i="11" s="1"/>
  <c r="B95" i="11"/>
  <c r="C95" i="11" s="1"/>
  <c r="B96" i="11"/>
  <c r="C96" i="11" s="1"/>
  <c r="B97" i="11"/>
  <c r="C97" i="11" s="1"/>
  <c r="B98" i="11"/>
  <c r="C98" i="11" s="1"/>
  <c r="B99" i="11"/>
  <c r="C99" i="11" s="1"/>
  <c r="B100" i="11"/>
  <c r="C100" i="11" s="1"/>
  <c r="B101" i="11"/>
  <c r="C101" i="11" s="1"/>
  <c r="B102" i="11"/>
  <c r="C102" i="11" s="1"/>
  <c r="B103" i="11"/>
  <c r="C103" i="11" s="1"/>
  <c r="B104" i="11"/>
  <c r="C104" i="11" s="1"/>
  <c r="B105" i="11"/>
  <c r="C105" i="11" s="1"/>
  <c r="B106" i="11"/>
  <c r="C106" i="11" s="1"/>
  <c r="B107" i="11"/>
  <c r="C107" i="11" s="1"/>
  <c r="B108" i="11"/>
  <c r="C108" i="11" s="1"/>
  <c r="B109" i="11"/>
  <c r="C109" i="11" s="1"/>
  <c r="B10" i="11"/>
  <c r="C10" i="11" s="1"/>
  <c r="K12" i="1"/>
  <c r="M5" i="1"/>
  <c r="M4" i="1"/>
  <c r="D10" i="11" l="1"/>
  <c r="E2" i="10" l="1"/>
  <c r="E1" i="10"/>
  <c r="B11" i="10" s="1"/>
  <c r="B4" i="10"/>
  <c r="B3" i="10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7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5" i="6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21" i="5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1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3" i="4"/>
  <c r="F38" i="3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134" i="3" s="1"/>
  <c r="F135" i="3" s="1"/>
  <c r="F136" i="3" s="1"/>
  <c r="F137" i="3" s="1"/>
  <c r="F138" i="3" s="1"/>
  <c r="F139" i="3" s="1"/>
  <c r="F140" i="3" s="1"/>
  <c r="F141" i="3" s="1"/>
  <c r="F142" i="3" s="1"/>
  <c r="F143" i="3" s="1"/>
  <c r="F144" i="3" s="1"/>
  <c r="F145" i="3" s="1"/>
  <c r="F146" i="3" s="1"/>
  <c r="F147" i="3" s="1"/>
  <c r="F148" i="3" s="1"/>
  <c r="F149" i="3" s="1"/>
  <c r="F150" i="3" s="1"/>
  <c r="F151" i="3" s="1"/>
  <c r="F152" i="3" s="1"/>
  <c r="F153" i="3" s="1"/>
  <c r="F154" i="3" s="1"/>
  <c r="F155" i="3" s="1"/>
  <c r="F156" i="3" s="1"/>
  <c r="F157" i="3" s="1"/>
  <c r="F158" i="3" s="1"/>
  <c r="F159" i="3" s="1"/>
  <c r="F160" i="3" s="1"/>
  <c r="F161" i="3" s="1"/>
  <c r="F162" i="3" s="1"/>
  <c r="F163" i="3" s="1"/>
  <c r="F164" i="3" s="1"/>
  <c r="F165" i="3" s="1"/>
  <c r="F166" i="3" s="1"/>
  <c r="F167" i="3" s="1"/>
  <c r="F168" i="3" s="1"/>
  <c r="F169" i="3" s="1"/>
  <c r="F170" i="3" s="1"/>
  <c r="F171" i="3" s="1"/>
  <c r="F172" i="3" s="1"/>
  <c r="F173" i="3" s="1"/>
  <c r="F174" i="3" s="1"/>
  <c r="F175" i="3" s="1"/>
  <c r="F176" i="3" s="1"/>
  <c r="F177" i="3" s="1"/>
  <c r="F178" i="3" s="1"/>
  <c r="F179" i="3" s="1"/>
  <c r="F180" i="3" s="1"/>
  <c r="F181" i="3" s="1"/>
  <c r="F182" i="3" s="1"/>
  <c r="F183" i="3" s="1"/>
  <c r="F184" i="3" s="1"/>
  <c r="F185" i="3" s="1"/>
  <c r="F186" i="3" s="1"/>
  <c r="F187" i="3" s="1"/>
  <c r="F188" i="3" s="1"/>
  <c r="F189" i="3" s="1"/>
  <c r="F37" i="3"/>
  <c r="G37" i="3" s="1"/>
  <c r="G36" i="3"/>
  <c r="F36" i="3"/>
  <c r="F35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27" i="3"/>
  <c r="K21" i="1" a="1"/>
  <c r="K21" i="1" s="1"/>
  <c r="D29" i="3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28" i="3"/>
  <c r="D27" i="3"/>
  <c r="C15" i="3"/>
  <c r="C16" i="3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4" i="3"/>
  <c r="C13" i="3"/>
  <c r="M12" i="1"/>
  <c r="K17" i="1"/>
  <c r="G38" i="3" l="1"/>
  <c r="G39" i="3" l="1"/>
  <c r="G40" i="3" l="1"/>
  <c r="G41" i="3" l="1"/>
  <c r="G42" i="3" l="1"/>
  <c r="G43" i="3" l="1"/>
  <c r="G44" i="3" l="1"/>
  <c r="G45" i="3" l="1"/>
  <c r="G46" i="3" l="1"/>
  <c r="G47" i="3" l="1"/>
  <c r="G48" i="3" l="1"/>
  <c r="G49" i="3" l="1"/>
  <c r="G50" i="3" l="1"/>
  <c r="G51" i="3" l="1"/>
  <c r="G52" i="3" l="1"/>
  <c r="G53" i="3" l="1"/>
  <c r="G54" i="3" l="1"/>
  <c r="G55" i="3" l="1"/>
  <c r="G56" i="3" l="1"/>
  <c r="G57" i="3" l="1"/>
  <c r="G58" i="3" l="1"/>
  <c r="G59" i="3" l="1"/>
  <c r="G60" i="3" l="1"/>
  <c r="G61" i="3" l="1"/>
  <c r="G62" i="3" l="1"/>
  <c r="G63" i="3" l="1"/>
  <c r="G64" i="3" l="1"/>
  <c r="G65" i="3" l="1"/>
  <c r="G66" i="3" l="1"/>
  <c r="G67" i="3" l="1"/>
  <c r="G68" i="3" l="1"/>
  <c r="G69" i="3" l="1"/>
  <c r="G70" i="3" l="1"/>
  <c r="G71" i="3" l="1"/>
  <c r="G72" i="3" l="1"/>
  <c r="G73" i="3" l="1"/>
  <c r="G74" i="3" l="1"/>
  <c r="G75" i="3" l="1"/>
  <c r="G76" i="3" l="1"/>
  <c r="G77" i="3" l="1"/>
  <c r="G78" i="3" l="1"/>
  <c r="G79" i="3" l="1"/>
  <c r="G80" i="3" l="1"/>
  <c r="G81" i="3" l="1"/>
  <c r="G82" i="3" l="1"/>
  <c r="G83" i="3" l="1"/>
  <c r="G84" i="3" l="1"/>
  <c r="G85" i="3" l="1"/>
  <c r="G86" i="3" l="1"/>
  <c r="G87" i="3" l="1"/>
  <c r="G88" i="3" l="1"/>
  <c r="G89" i="3" l="1"/>
  <c r="G90" i="3" l="1"/>
  <c r="G91" i="3" l="1"/>
  <c r="G92" i="3" l="1"/>
  <c r="G93" i="3" l="1"/>
  <c r="G94" i="3" l="1"/>
  <c r="G95" i="3" l="1"/>
  <c r="G96" i="3" l="1"/>
  <c r="G97" i="3" l="1"/>
  <c r="G98" i="3" l="1"/>
  <c r="G99" i="3" l="1"/>
  <c r="G100" i="3" l="1"/>
  <c r="G101" i="3" l="1"/>
  <c r="G102" i="3" l="1"/>
  <c r="G103" i="3" l="1"/>
  <c r="G104" i="3" l="1"/>
  <c r="G105" i="3" l="1"/>
  <c r="G106" i="3" l="1"/>
  <c r="G107" i="3" l="1"/>
  <c r="G108" i="3" l="1"/>
  <c r="G109" i="3" l="1"/>
  <c r="G110" i="3" l="1"/>
  <c r="G111" i="3" l="1"/>
  <c r="G112" i="3" l="1"/>
  <c r="G113" i="3" l="1"/>
  <c r="G114" i="3" l="1"/>
  <c r="G115" i="3" l="1"/>
  <c r="G116" i="3" l="1"/>
  <c r="G117" i="3" l="1"/>
  <c r="G118" i="3" l="1"/>
  <c r="G119" i="3" l="1"/>
  <c r="G120" i="3" l="1"/>
  <c r="G121" i="3" l="1"/>
  <c r="G122" i="3" l="1"/>
  <c r="G123" i="3" l="1"/>
  <c r="G124" i="3" l="1"/>
  <c r="G125" i="3" l="1"/>
  <c r="G126" i="3" l="1"/>
  <c r="G127" i="3" l="1"/>
  <c r="G128" i="3" l="1"/>
  <c r="G129" i="3" l="1"/>
  <c r="G130" i="3" l="1"/>
  <c r="G131" i="3" l="1"/>
  <c r="G132" i="3" l="1"/>
  <c r="G133" i="3" l="1"/>
  <c r="G134" i="3" l="1"/>
  <c r="G135" i="3" l="1"/>
  <c r="G136" i="3" l="1"/>
  <c r="G137" i="3" l="1"/>
  <c r="G138" i="3" l="1"/>
  <c r="G139" i="3" l="1"/>
  <c r="G140" i="3" l="1"/>
  <c r="G141" i="3" l="1"/>
  <c r="G142" i="3" l="1"/>
  <c r="G143" i="3" l="1"/>
  <c r="G144" i="3" l="1"/>
  <c r="G145" i="3" l="1"/>
  <c r="G146" i="3" l="1"/>
  <c r="G147" i="3" l="1"/>
  <c r="G148" i="3" l="1"/>
  <c r="G149" i="3" l="1"/>
  <c r="G150" i="3" l="1"/>
  <c r="G151" i="3" l="1"/>
  <c r="G152" i="3" l="1"/>
  <c r="G153" i="3" l="1"/>
  <c r="G154" i="3" l="1"/>
  <c r="G155" i="3" l="1"/>
  <c r="G156" i="3" l="1"/>
  <c r="G157" i="3" l="1"/>
  <c r="G158" i="3" l="1"/>
  <c r="G159" i="3" l="1"/>
  <c r="G160" i="3" l="1"/>
  <c r="G161" i="3" l="1"/>
  <c r="G162" i="3" l="1"/>
  <c r="G163" i="3" l="1"/>
  <c r="G164" i="3" l="1"/>
  <c r="G165" i="3" l="1"/>
  <c r="G166" i="3" l="1"/>
  <c r="G167" i="3" l="1"/>
  <c r="G168" i="3" l="1"/>
  <c r="G169" i="3" l="1"/>
  <c r="G170" i="3" l="1"/>
  <c r="G171" i="3" l="1"/>
  <c r="G172" i="3" l="1"/>
  <c r="G173" i="3" l="1"/>
  <c r="G174" i="3" l="1"/>
  <c r="G175" i="3" l="1"/>
  <c r="G176" i="3" l="1"/>
  <c r="G177" i="3" l="1"/>
  <c r="G178" i="3" l="1"/>
  <c r="G179" i="3" l="1"/>
  <c r="G180" i="3" l="1"/>
  <c r="G181" i="3" l="1"/>
  <c r="G182" i="3" l="1"/>
  <c r="G183" i="3" l="1"/>
  <c r="G184" i="3" l="1"/>
  <c r="G185" i="3" l="1"/>
  <c r="G186" i="3" l="1"/>
  <c r="G187" i="3" l="1"/>
  <c r="G189" i="3" l="1"/>
  <c r="G188" i="3"/>
  <c r="C96" i="1" l="1"/>
  <c r="H96" i="1" s="1"/>
  <c r="C3" i="1"/>
  <c r="H3" i="1" s="1"/>
  <c r="F3" i="1"/>
  <c r="I3" i="1" s="1"/>
  <c r="C4" i="1"/>
  <c r="H4" i="1" s="1"/>
  <c r="F4" i="1"/>
  <c r="I4" i="1" s="1"/>
  <c r="C5" i="1"/>
  <c r="H5" i="1" s="1"/>
  <c r="F5" i="1"/>
  <c r="I5" i="1" s="1"/>
  <c r="C6" i="1"/>
  <c r="H6" i="1" s="1"/>
  <c r="F6" i="1"/>
  <c r="I6" i="1" s="1"/>
  <c r="C7" i="1"/>
  <c r="H7" i="1" s="1"/>
  <c r="F7" i="1"/>
  <c r="I7" i="1" s="1"/>
  <c r="C8" i="1" l="1"/>
  <c r="H8" i="1" s="1"/>
  <c r="F8" i="1"/>
  <c r="I8" i="1" s="1"/>
  <c r="C9" i="1"/>
  <c r="H9" i="1" s="1"/>
  <c r="F9" i="1"/>
  <c r="I9" i="1" s="1"/>
  <c r="C10" i="1"/>
  <c r="H10" i="1" s="1"/>
  <c r="F10" i="1"/>
  <c r="I10" i="1" s="1"/>
  <c r="C11" i="1"/>
  <c r="H11" i="1" s="1"/>
  <c r="F11" i="1"/>
  <c r="I11" i="1" s="1"/>
  <c r="C12" i="1"/>
  <c r="H12" i="1" s="1"/>
  <c r="F12" i="1"/>
  <c r="I12" i="1" s="1"/>
  <c r="C13" i="1"/>
  <c r="H13" i="1" s="1"/>
  <c r="F13" i="1"/>
  <c r="I13" i="1" s="1"/>
  <c r="C14" i="1"/>
  <c r="H14" i="1" s="1"/>
  <c r="F14" i="1"/>
  <c r="I14" i="1" s="1"/>
  <c r="C15" i="1"/>
  <c r="H15" i="1" s="1"/>
  <c r="F15" i="1"/>
  <c r="I15" i="1" s="1"/>
  <c r="C16" i="1"/>
  <c r="H16" i="1" s="1"/>
  <c r="F16" i="1"/>
  <c r="I16" i="1" s="1"/>
  <c r="C17" i="1"/>
  <c r="H17" i="1" s="1"/>
  <c r="F17" i="1"/>
  <c r="I17" i="1" s="1"/>
  <c r="C18" i="1"/>
  <c r="H18" i="1" s="1"/>
  <c r="F18" i="1"/>
  <c r="I18" i="1" s="1"/>
  <c r="C19" i="1"/>
  <c r="H19" i="1" s="1"/>
  <c r="F19" i="1"/>
  <c r="I19" i="1" s="1"/>
  <c r="C20" i="1"/>
  <c r="H20" i="1" s="1"/>
  <c r="F20" i="1"/>
  <c r="I20" i="1" s="1"/>
  <c r="C21" i="1"/>
  <c r="H21" i="1" s="1"/>
  <c r="F21" i="1"/>
  <c r="I21" i="1" s="1"/>
  <c r="C22" i="1"/>
  <c r="H22" i="1" s="1"/>
  <c r="F22" i="1"/>
  <c r="I22" i="1" s="1"/>
  <c r="C23" i="1"/>
  <c r="H23" i="1" s="1"/>
  <c r="F23" i="1"/>
  <c r="I23" i="1" s="1"/>
  <c r="C24" i="1"/>
  <c r="H24" i="1" s="1"/>
  <c r="F24" i="1"/>
  <c r="I24" i="1" s="1"/>
  <c r="C25" i="1"/>
  <c r="H25" i="1" s="1"/>
  <c r="F25" i="1"/>
  <c r="I25" i="1" s="1"/>
  <c r="C26" i="1"/>
  <c r="H26" i="1" s="1"/>
  <c r="F26" i="1"/>
  <c r="I26" i="1" s="1"/>
  <c r="C27" i="1"/>
  <c r="H27" i="1" s="1"/>
  <c r="F27" i="1"/>
  <c r="I27" i="1" s="1"/>
  <c r="C28" i="1"/>
  <c r="H28" i="1" s="1"/>
  <c r="F28" i="1"/>
  <c r="I28" i="1" s="1"/>
  <c r="C29" i="1"/>
  <c r="H29" i="1" s="1"/>
  <c r="F29" i="1"/>
  <c r="I29" i="1" s="1"/>
  <c r="C30" i="1"/>
  <c r="H30" i="1" s="1"/>
  <c r="F30" i="1"/>
  <c r="I30" i="1" s="1"/>
  <c r="C31" i="1"/>
  <c r="H31" i="1" s="1"/>
  <c r="F31" i="1"/>
  <c r="I31" i="1" s="1"/>
  <c r="C32" i="1"/>
  <c r="H32" i="1" s="1"/>
  <c r="F32" i="1"/>
  <c r="I32" i="1" s="1"/>
  <c r="C33" i="1"/>
  <c r="H33" i="1" s="1"/>
  <c r="F33" i="1"/>
  <c r="I33" i="1" s="1"/>
  <c r="C34" i="1"/>
  <c r="H34" i="1" s="1"/>
  <c r="F34" i="1"/>
  <c r="I34" i="1" s="1"/>
  <c r="C35" i="1"/>
  <c r="H35" i="1" s="1"/>
  <c r="F35" i="1"/>
  <c r="I35" i="1" s="1"/>
  <c r="C36" i="1"/>
  <c r="H36" i="1" s="1"/>
  <c r="F36" i="1"/>
  <c r="I36" i="1" s="1"/>
  <c r="C37" i="1"/>
  <c r="H37" i="1" s="1"/>
  <c r="F37" i="1"/>
  <c r="I37" i="1" s="1"/>
  <c r="C38" i="1"/>
  <c r="H38" i="1" s="1"/>
  <c r="F38" i="1"/>
  <c r="I38" i="1" s="1"/>
  <c r="C39" i="1"/>
  <c r="H39" i="1" s="1"/>
  <c r="F39" i="1"/>
  <c r="I39" i="1" s="1"/>
  <c r="C40" i="1"/>
  <c r="H40" i="1" s="1"/>
  <c r="F40" i="1"/>
  <c r="I40" i="1" s="1"/>
  <c r="C41" i="1"/>
  <c r="H41" i="1" s="1"/>
  <c r="F41" i="1"/>
  <c r="I41" i="1" s="1"/>
  <c r="C42" i="1"/>
  <c r="H42" i="1" s="1"/>
  <c r="F42" i="1"/>
  <c r="I42" i="1" s="1"/>
  <c r="C43" i="1"/>
  <c r="H43" i="1" s="1"/>
  <c r="F43" i="1"/>
  <c r="I43" i="1" s="1"/>
  <c r="C44" i="1"/>
  <c r="H44" i="1" s="1"/>
  <c r="F44" i="1"/>
  <c r="I44" i="1" s="1"/>
  <c r="C45" i="1"/>
  <c r="H45" i="1" s="1"/>
  <c r="F45" i="1"/>
  <c r="I45" i="1" s="1"/>
  <c r="C46" i="1"/>
  <c r="H46" i="1" s="1"/>
  <c r="F46" i="1"/>
  <c r="I46" i="1" s="1"/>
  <c r="C47" i="1"/>
  <c r="H47" i="1" s="1"/>
  <c r="F47" i="1"/>
  <c r="I47" i="1" s="1"/>
  <c r="C48" i="1"/>
  <c r="H48" i="1" s="1"/>
  <c r="F48" i="1"/>
  <c r="I48" i="1" s="1"/>
  <c r="C49" i="1"/>
  <c r="H49" i="1" s="1"/>
  <c r="F49" i="1"/>
  <c r="I49" i="1" s="1"/>
  <c r="C50" i="1"/>
  <c r="H50" i="1" s="1"/>
  <c r="F50" i="1"/>
  <c r="I50" i="1" s="1"/>
  <c r="C51" i="1"/>
  <c r="H51" i="1" s="1"/>
  <c r="F51" i="1"/>
  <c r="I51" i="1" s="1"/>
  <c r="C52" i="1"/>
  <c r="H52" i="1" s="1"/>
  <c r="F52" i="1"/>
  <c r="I52" i="1" s="1"/>
  <c r="C53" i="1"/>
  <c r="H53" i="1" s="1"/>
  <c r="F53" i="1"/>
  <c r="I53" i="1" s="1"/>
  <c r="C54" i="1"/>
  <c r="H54" i="1" s="1"/>
  <c r="F54" i="1"/>
  <c r="I54" i="1" s="1"/>
  <c r="C55" i="1"/>
  <c r="H55" i="1" s="1"/>
  <c r="F55" i="1"/>
  <c r="I55" i="1" s="1"/>
  <c r="C56" i="1"/>
  <c r="H56" i="1" s="1"/>
  <c r="F56" i="1"/>
  <c r="I56" i="1" s="1"/>
  <c r="C57" i="1"/>
  <c r="H57" i="1" s="1"/>
  <c r="F57" i="1"/>
  <c r="I57" i="1" s="1"/>
  <c r="C58" i="1"/>
  <c r="H58" i="1" s="1"/>
  <c r="F58" i="1"/>
  <c r="I58" i="1" s="1"/>
  <c r="C59" i="1"/>
  <c r="H59" i="1" s="1"/>
  <c r="F59" i="1"/>
  <c r="I59" i="1" s="1"/>
  <c r="C60" i="1"/>
  <c r="H60" i="1" s="1"/>
  <c r="F60" i="1"/>
  <c r="I60" i="1" s="1"/>
  <c r="C61" i="1"/>
  <c r="H61" i="1" s="1"/>
  <c r="F61" i="1"/>
  <c r="I61" i="1" s="1"/>
  <c r="C62" i="1"/>
  <c r="H62" i="1" s="1"/>
  <c r="F62" i="1"/>
  <c r="I62" i="1" s="1"/>
  <c r="C63" i="1"/>
  <c r="H63" i="1" s="1"/>
  <c r="F63" i="1"/>
  <c r="I63" i="1" s="1"/>
  <c r="C64" i="1"/>
  <c r="H64" i="1" s="1"/>
  <c r="F64" i="1"/>
  <c r="I64" i="1" s="1"/>
  <c r="C65" i="1"/>
  <c r="H65" i="1" s="1"/>
  <c r="F65" i="1"/>
  <c r="I65" i="1" s="1"/>
  <c r="C66" i="1"/>
  <c r="H66" i="1" s="1"/>
  <c r="F66" i="1"/>
  <c r="I66" i="1" s="1"/>
  <c r="C67" i="1"/>
  <c r="H67" i="1" s="1"/>
  <c r="F67" i="1"/>
  <c r="I67" i="1" s="1"/>
  <c r="C68" i="1"/>
  <c r="H68" i="1" s="1"/>
  <c r="F68" i="1"/>
  <c r="I68" i="1" s="1"/>
  <c r="C69" i="1"/>
  <c r="H69" i="1" s="1"/>
  <c r="F69" i="1"/>
  <c r="I69" i="1" s="1"/>
  <c r="C70" i="1"/>
  <c r="H70" i="1" s="1"/>
  <c r="F70" i="1"/>
  <c r="I70" i="1" s="1"/>
  <c r="C71" i="1"/>
  <c r="H71" i="1" s="1"/>
  <c r="F71" i="1"/>
  <c r="I71" i="1" s="1"/>
  <c r="C72" i="1"/>
  <c r="H72" i="1" s="1"/>
  <c r="F72" i="1"/>
  <c r="I72" i="1" s="1"/>
  <c r="C73" i="1"/>
  <c r="H73" i="1" s="1"/>
  <c r="F73" i="1"/>
  <c r="I73" i="1" s="1"/>
  <c r="C74" i="1"/>
  <c r="H74" i="1" s="1"/>
  <c r="F74" i="1"/>
  <c r="I74" i="1" s="1"/>
  <c r="C75" i="1"/>
  <c r="H75" i="1" s="1"/>
  <c r="F75" i="1"/>
  <c r="I75" i="1" s="1"/>
  <c r="C76" i="1"/>
  <c r="H76" i="1" s="1"/>
  <c r="F76" i="1"/>
  <c r="I76" i="1" s="1"/>
  <c r="C77" i="1"/>
  <c r="H77" i="1" s="1"/>
  <c r="F77" i="1"/>
  <c r="I77" i="1" s="1"/>
  <c r="C78" i="1"/>
  <c r="H78" i="1" s="1"/>
  <c r="F78" i="1"/>
  <c r="I78" i="1" s="1"/>
  <c r="C79" i="1"/>
  <c r="H79" i="1" s="1"/>
  <c r="F79" i="1"/>
  <c r="I79" i="1" s="1"/>
  <c r="C80" i="1"/>
  <c r="H80" i="1" s="1"/>
  <c r="F80" i="1"/>
  <c r="I80" i="1" s="1"/>
  <c r="C81" i="1"/>
  <c r="H81" i="1" s="1"/>
  <c r="F81" i="1"/>
  <c r="I81" i="1" s="1"/>
  <c r="C82" i="1"/>
  <c r="H82" i="1" s="1"/>
  <c r="F82" i="1"/>
  <c r="I82" i="1" s="1"/>
  <c r="C83" i="1"/>
  <c r="H83" i="1" s="1"/>
  <c r="F83" i="1"/>
  <c r="I83" i="1" s="1"/>
  <c r="C84" i="1"/>
  <c r="H84" i="1" s="1"/>
  <c r="F84" i="1"/>
  <c r="I84" i="1" s="1"/>
  <c r="C85" i="1"/>
  <c r="H85" i="1" s="1"/>
  <c r="F85" i="1"/>
  <c r="I85" i="1" s="1"/>
  <c r="C86" i="1"/>
  <c r="H86" i="1" s="1"/>
  <c r="F86" i="1"/>
  <c r="I86" i="1" s="1"/>
  <c r="C87" i="1"/>
  <c r="H87" i="1" s="1"/>
  <c r="F87" i="1"/>
  <c r="I87" i="1" s="1"/>
  <c r="C88" i="1"/>
  <c r="H88" i="1" s="1"/>
  <c r="F88" i="1"/>
  <c r="I88" i="1" s="1"/>
  <c r="C89" i="1"/>
  <c r="H89" i="1" s="1"/>
  <c r="F89" i="1"/>
  <c r="I89" i="1" s="1"/>
  <c r="C90" i="1"/>
  <c r="H90" i="1" s="1"/>
  <c r="F90" i="1"/>
  <c r="I90" i="1" s="1"/>
  <c r="C91" i="1"/>
  <c r="H91" i="1" s="1"/>
  <c r="F91" i="1"/>
  <c r="I91" i="1" s="1"/>
  <c r="C92" i="1"/>
  <c r="H92" i="1" s="1"/>
  <c r="F92" i="1"/>
  <c r="I92" i="1" s="1"/>
  <c r="C93" i="1"/>
  <c r="H93" i="1" s="1"/>
  <c r="F93" i="1"/>
  <c r="I93" i="1" s="1"/>
  <c r="C94" i="1"/>
  <c r="H94" i="1" s="1"/>
  <c r="F94" i="1"/>
  <c r="I94" i="1" s="1"/>
  <c r="C95" i="1"/>
  <c r="H95" i="1" s="1"/>
  <c r="F95" i="1"/>
  <c r="I95" i="1" s="1"/>
  <c r="F96" i="1"/>
  <c r="I96" i="1" s="1"/>
  <c r="C97" i="1"/>
  <c r="H97" i="1" s="1"/>
  <c r="F97" i="1"/>
  <c r="I97" i="1" s="1"/>
  <c r="C98" i="1"/>
  <c r="H98" i="1" s="1"/>
  <c r="F98" i="1"/>
  <c r="I98" i="1" s="1"/>
  <c r="C99" i="1"/>
  <c r="H99" i="1" s="1"/>
  <c r="F99" i="1"/>
  <c r="I99" i="1" s="1"/>
  <c r="C100" i="1"/>
  <c r="H100" i="1" s="1"/>
  <c r="F100" i="1"/>
  <c r="I100" i="1" s="1"/>
  <c r="C101" i="1"/>
  <c r="H101" i="1" s="1"/>
  <c r="F101" i="1"/>
  <c r="I101" i="1" s="1"/>
  <c r="C102" i="1"/>
  <c r="H102" i="1" s="1"/>
  <c r="F102" i="1"/>
  <c r="I102" i="1" s="1"/>
  <c r="C103" i="1"/>
  <c r="H103" i="1" s="1"/>
  <c r="F103" i="1"/>
  <c r="I103" i="1" s="1"/>
  <c r="C104" i="1"/>
  <c r="H104" i="1" s="1"/>
  <c r="F104" i="1"/>
  <c r="I104" i="1" s="1"/>
  <c r="C105" i="1"/>
  <c r="H105" i="1" s="1"/>
  <c r="F105" i="1"/>
  <c r="I105" i="1" s="1"/>
  <c r="C106" i="1"/>
  <c r="H106" i="1" s="1"/>
  <c r="F106" i="1"/>
  <c r="I106" i="1" s="1"/>
  <c r="C107" i="1"/>
  <c r="H107" i="1" s="1"/>
  <c r="F107" i="1"/>
  <c r="I107" i="1" s="1"/>
  <c r="C108" i="1"/>
  <c r="H108" i="1" s="1"/>
  <c r="F108" i="1"/>
  <c r="I108" i="1" s="1"/>
  <c r="C109" i="1"/>
  <c r="H109" i="1" s="1"/>
  <c r="F109" i="1"/>
  <c r="I109" i="1" s="1"/>
  <c r="C110" i="1"/>
  <c r="H110" i="1" s="1"/>
  <c r="F110" i="1"/>
  <c r="I110" i="1" s="1"/>
  <c r="C111" i="1"/>
  <c r="H111" i="1" s="1"/>
  <c r="F111" i="1"/>
  <c r="I111" i="1" s="1"/>
  <c r="C112" i="1"/>
  <c r="H112" i="1" s="1"/>
  <c r="F112" i="1"/>
  <c r="I112" i="1" s="1"/>
  <c r="C113" i="1"/>
  <c r="H113" i="1" s="1"/>
  <c r="F113" i="1"/>
  <c r="I113" i="1" s="1"/>
  <c r="C114" i="1"/>
  <c r="H114" i="1" s="1"/>
  <c r="F114" i="1"/>
  <c r="I114" i="1" s="1"/>
  <c r="C115" i="1"/>
  <c r="H115" i="1" s="1"/>
  <c r="F115" i="1"/>
  <c r="I115" i="1" s="1"/>
  <c r="C116" i="1"/>
  <c r="H116" i="1" s="1"/>
  <c r="F116" i="1"/>
  <c r="I116" i="1" s="1"/>
  <c r="C117" i="1"/>
  <c r="H117" i="1" s="1"/>
  <c r="F117" i="1"/>
  <c r="I117" i="1" s="1"/>
  <c r="C118" i="1"/>
  <c r="H118" i="1" s="1"/>
  <c r="F118" i="1"/>
  <c r="I118" i="1" s="1"/>
  <c r="C119" i="1"/>
  <c r="H119" i="1" s="1"/>
  <c r="F119" i="1"/>
  <c r="I119" i="1" s="1"/>
  <c r="C120" i="1"/>
  <c r="H120" i="1" s="1"/>
  <c r="F120" i="1"/>
  <c r="I120" i="1" s="1"/>
  <c r="C121" i="1"/>
  <c r="H121" i="1" s="1"/>
  <c r="F121" i="1"/>
  <c r="I121" i="1" s="1"/>
  <c r="C122" i="1"/>
  <c r="H122" i="1" s="1"/>
  <c r="F122" i="1"/>
  <c r="I122" i="1" s="1"/>
  <c r="C123" i="1"/>
  <c r="H123" i="1" s="1"/>
  <c r="F123" i="1"/>
  <c r="I123" i="1" s="1"/>
  <c r="C124" i="1"/>
  <c r="H124" i="1" s="1"/>
  <c r="F124" i="1"/>
  <c r="I124" i="1" s="1"/>
  <c r="C125" i="1"/>
  <c r="H125" i="1" s="1"/>
  <c r="F125" i="1"/>
  <c r="I125" i="1" s="1"/>
  <c r="C126" i="1"/>
  <c r="H126" i="1" s="1"/>
  <c r="F126" i="1"/>
  <c r="I126" i="1" s="1"/>
  <c r="C127" i="1"/>
  <c r="H127" i="1" s="1"/>
  <c r="F127" i="1"/>
  <c r="I127" i="1" s="1"/>
  <c r="C128" i="1"/>
  <c r="H128" i="1" s="1"/>
  <c r="F128" i="1"/>
  <c r="I128" i="1" s="1"/>
  <c r="C129" i="1"/>
  <c r="H129" i="1" s="1"/>
  <c r="F129" i="1"/>
  <c r="I129" i="1" s="1"/>
  <c r="C130" i="1"/>
  <c r="H130" i="1" s="1"/>
  <c r="F130" i="1"/>
  <c r="I130" i="1" s="1"/>
  <c r="C131" i="1"/>
  <c r="H131" i="1" s="1"/>
  <c r="F131" i="1"/>
  <c r="I131" i="1" s="1"/>
  <c r="C132" i="1"/>
  <c r="H132" i="1" s="1"/>
  <c r="F132" i="1"/>
  <c r="I132" i="1" s="1"/>
  <c r="C133" i="1"/>
  <c r="H133" i="1" s="1"/>
  <c r="F133" i="1"/>
  <c r="I133" i="1" s="1"/>
  <c r="C134" i="1"/>
  <c r="H134" i="1" s="1"/>
  <c r="F134" i="1"/>
  <c r="I134" i="1" s="1"/>
  <c r="C135" i="1"/>
  <c r="H135" i="1" s="1"/>
  <c r="F135" i="1"/>
  <c r="I135" i="1" s="1"/>
  <c r="C136" i="1"/>
  <c r="H136" i="1" s="1"/>
  <c r="F136" i="1"/>
  <c r="I136" i="1" s="1"/>
  <c r="C137" i="1"/>
  <c r="H137" i="1" s="1"/>
  <c r="F137" i="1"/>
  <c r="I137" i="1" s="1"/>
  <c r="C138" i="1"/>
  <c r="H138" i="1" s="1"/>
  <c r="F138" i="1"/>
  <c r="I138" i="1" s="1"/>
  <c r="C139" i="1"/>
  <c r="H139" i="1" s="1"/>
  <c r="F139" i="1"/>
  <c r="I139" i="1" s="1"/>
  <c r="C140" i="1"/>
  <c r="H140" i="1" s="1"/>
  <c r="F140" i="1"/>
  <c r="I140" i="1" s="1"/>
  <c r="C141" i="1"/>
  <c r="H141" i="1" s="1"/>
  <c r="F141" i="1"/>
  <c r="I141" i="1" s="1"/>
  <c r="C142" i="1"/>
  <c r="H142" i="1" s="1"/>
  <c r="F142" i="1"/>
  <c r="I142" i="1" s="1"/>
  <c r="C143" i="1"/>
  <c r="H143" i="1" s="1"/>
  <c r="F143" i="1"/>
  <c r="I143" i="1" s="1"/>
  <c r="C144" i="1"/>
  <c r="H144" i="1" s="1"/>
  <c r="F144" i="1"/>
  <c r="I144" i="1" s="1"/>
  <c r="C145" i="1"/>
  <c r="H145" i="1" s="1"/>
  <c r="F145" i="1"/>
  <c r="I145" i="1" s="1"/>
  <c r="C146" i="1"/>
  <c r="H146" i="1" s="1"/>
  <c r="F146" i="1"/>
  <c r="I146" i="1" s="1"/>
  <c r="C147" i="1"/>
  <c r="H147" i="1" s="1"/>
  <c r="F147" i="1"/>
  <c r="I147" i="1" s="1"/>
  <c r="C148" i="1"/>
  <c r="H148" i="1" s="1"/>
  <c r="F148" i="1"/>
  <c r="I148" i="1" s="1"/>
  <c r="C149" i="1"/>
  <c r="H149" i="1" s="1"/>
  <c r="F149" i="1"/>
  <c r="I149" i="1" s="1"/>
  <c r="C150" i="1"/>
  <c r="H150" i="1" s="1"/>
  <c r="F150" i="1"/>
  <c r="I150" i="1" s="1"/>
  <c r="C151" i="1"/>
  <c r="H151" i="1" s="1"/>
  <c r="F151" i="1"/>
  <c r="I151" i="1" s="1"/>
  <c r="C152" i="1"/>
  <c r="H152" i="1" s="1"/>
  <c r="F152" i="1"/>
  <c r="I152" i="1" s="1"/>
  <c r="C153" i="1"/>
  <c r="H153" i="1" s="1"/>
  <c r="F153" i="1"/>
  <c r="I153" i="1" s="1"/>
  <c r="C154" i="1"/>
  <c r="H154" i="1" s="1"/>
  <c r="F154" i="1"/>
  <c r="I154" i="1" s="1"/>
  <c r="C155" i="1"/>
  <c r="H155" i="1" s="1"/>
  <c r="F155" i="1"/>
  <c r="I155" i="1" s="1"/>
  <c r="C156" i="1"/>
  <c r="H156" i="1" s="1"/>
  <c r="F156" i="1"/>
  <c r="I156" i="1" s="1"/>
  <c r="C157" i="1"/>
  <c r="H157" i="1" s="1"/>
  <c r="F157" i="1"/>
  <c r="I157" i="1" s="1"/>
  <c r="C158" i="1"/>
  <c r="H158" i="1" s="1"/>
  <c r="F158" i="1"/>
  <c r="I158" i="1" s="1"/>
  <c r="C159" i="1"/>
  <c r="H159" i="1" s="1"/>
  <c r="F159" i="1"/>
  <c r="I159" i="1" s="1"/>
  <c r="C160" i="1"/>
  <c r="H160" i="1" s="1"/>
  <c r="F160" i="1"/>
  <c r="I160" i="1" s="1"/>
  <c r="C161" i="1"/>
  <c r="H161" i="1" s="1"/>
  <c r="F161" i="1"/>
  <c r="I161" i="1" s="1"/>
  <c r="C162" i="1"/>
  <c r="H162" i="1" s="1"/>
  <c r="F162" i="1"/>
  <c r="I162" i="1" s="1"/>
  <c r="C163" i="1"/>
  <c r="H163" i="1" s="1"/>
  <c r="F163" i="1"/>
  <c r="I163" i="1" s="1"/>
  <c r="C164" i="1"/>
  <c r="H164" i="1" s="1"/>
  <c r="F164" i="1"/>
  <c r="I164" i="1" s="1"/>
  <c r="C165" i="1"/>
  <c r="H165" i="1" s="1"/>
  <c r="F165" i="1"/>
  <c r="I165" i="1" s="1"/>
  <c r="C166" i="1"/>
  <c r="H166" i="1" s="1"/>
  <c r="F166" i="1"/>
  <c r="I166" i="1" s="1"/>
  <c r="C167" i="1"/>
  <c r="H167" i="1" s="1"/>
  <c r="F167" i="1"/>
  <c r="I167" i="1" s="1"/>
  <c r="C168" i="1"/>
  <c r="H168" i="1" s="1"/>
  <c r="F168" i="1"/>
  <c r="I168" i="1" s="1"/>
  <c r="C169" i="1"/>
  <c r="H169" i="1" s="1"/>
  <c r="F169" i="1"/>
  <c r="I169" i="1" s="1"/>
  <c r="C170" i="1"/>
  <c r="H170" i="1" s="1"/>
  <c r="F170" i="1"/>
  <c r="I170" i="1" s="1"/>
  <c r="C171" i="1"/>
  <c r="H171" i="1" s="1"/>
  <c r="F171" i="1"/>
  <c r="I171" i="1" s="1"/>
  <c r="C172" i="1"/>
  <c r="H172" i="1" s="1"/>
  <c r="F172" i="1"/>
  <c r="I172" i="1" s="1"/>
  <c r="C173" i="1"/>
  <c r="H173" i="1" s="1"/>
  <c r="F173" i="1"/>
  <c r="I173" i="1" s="1"/>
  <c r="C174" i="1"/>
  <c r="H174" i="1" s="1"/>
  <c r="F174" i="1"/>
  <c r="I174" i="1" s="1"/>
  <c r="C175" i="1"/>
  <c r="H175" i="1" s="1"/>
  <c r="F175" i="1"/>
  <c r="I175" i="1" s="1"/>
  <c r="C176" i="1"/>
  <c r="H176" i="1" s="1"/>
  <c r="F176" i="1"/>
  <c r="I176" i="1" s="1"/>
  <c r="C177" i="1"/>
  <c r="H177" i="1" s="1"/>
  <c r="F177" i="1"/>
  <c r="I177" i="1" s="1"/>
  <c r="C178" i="1"/>
  <c r="H178" i="1" s="1"/>
  <c r="F178" i="1"/>
  <c r="I178" i="1" s="1"/>
  <c r="C179" i="1"/>
  <c r="H179" i="1" s="1"/>
  <c r="F179" i="1"/>
  <c r="I179" i="1" s="1"/>
  <c r="C180" i="1"/>
  <c r="H180" i="1" s="1"/>
  <c r="F180" i="1"/>
  <c r="I180" i="1" s="1"/>
  <c r="C181" i="1"/>
  <c r="H181" i="1" s="1"/>
  <c r="F181" i="1"/>
  <c r="I181" i="1" s="1"/>
  <c r="C182" i="1"/>
  <c r="H182" i="1" s="1"/>
  <c r="F182" i="1"/>
  <c r="I182" i="1" s="1"/>
  <c r="C183" i="1"/>
  <c r="H183" i="1" s="1"/>
  <c r="F183" i="1"/>
  <c r="I183" i="1" s="1"/>
  <c r="C184" i="1"/>
  <c r="H184" i="1" s="1"/>
  <c r="F184" i="1"/>
  <c r="I184" i="1" s="1"/>
  <c r="C185" i="1"/>
  <c r="H185" i="1" s="1"/>
  <c r="F185" i="1"/>
  <c r="I185" i="1" s="1"/>
  <c r="C186" i="1"/>
  <c r="H186" i="1" s="1"/>
  <c r="F186" i="1"/>
  <c r="I186" i="1" s="1"/>
  <c r="C187" i="1"/>
  <c r="H187" i="1" s="1"/>
  <c r="F187" i="1"/>
  <c r="I187" i="1" s="1"/>
  <c r="C188" i="1"/>
  <c r="H188" i="1" s="1"/>
  <c r="F188" i="1"/>
  <c r="I188" i="1" s="1"/>
  <c r="C189" i="1"/>
  <c r="H189" i="1" s="1"/>
  <c r="F189" i="1"/>
  <c r="I189" i="1" s="1"/>
  <c r="M7" i="1" a="1"/>
  <c r="M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<sst xmlns="http://schemas.openxmlformats.org/spreadsheetml/2006/main" count="77" uniqueCount="67">
  <si>
    <t>Date</t>
  </si>
  <si>
    <t xml:space="preserve"> aapl Price</t>
  </si>
  <si>
    <t xml:space="preserve">log return </t>
  </si>
  <si>
    <t>s&amp;p 500</t>
  </si>
  <si>
    <t>last price</t>
  </si>
  <si>
    <t>log return</t>
  </si>
  <si>
    <t>average return</t>
  </si>
  <si>
    <t>annualised return</t>
  </si>
  <si>
    <t>annualised vol</t>
  </si>
  <si>
    <t>vba</t>
  </si>
  <si>
    <t>1 day 95% VaR</t>
  </si>
  <si>
    <t xml:space="preserve">CAPM BETA </t>
  </si>
  <si>
    <t xml:space="preserve">question 1 </t>
  </si>
  <si>
    <t>question 2</t>
  </si>
  <si>
    <t>12 day ema</t>
  </si>
  <si>
    <t>26 day ema</t>
  </si>
  <si>
    <t>macd line</t>
  </si>
  <si>
    <t>histogram</t>
  </si>
  <si>
    <t>9 day ema signal</t>
  </si>
  <si>
    <t>risk free rate</t>
  </si>
  <si>
    <t>e.r aappl</t>
  </si>
  <si>
    <t>e.r s&amp;p 500</t>
  </si>
  <si>
    <t>monetary VaR</t>
  </si>
  <si>
    <t>AAPL</t>
  </si>
  <si>
    <t>regression</t>
  </si>
  <si>
    <t xml:space="preserve">change </t>
  </si>
  <si>
    <t>gain</t>
  </si>
  <si>
    <t xml:space="preserve">loss </t>
  </si>
  <si>
    <t>avg gain</t>
  </si>
  <si>
    <t>avg loss</t>
  </si>
  <si>
    <t>RS</t>
  </si>
  <si>
    <t>14 DAY RSI</t>
  </si>
  <si>
    <t>20 DAY MA</t>
  </si>
  <si>
    <t>STD DEV</t>
  </si>
  <si>
    <t>upper band</t>
  </si>
  <si>
    <t>lower band</t>
  </si>
  <si>
    <t>%K LINE</t>
  </si>
  <si>
    <t>%D LINE</t>
  </si>
  <si>
    <t>stock price</t>
  </si>
  <si>
    <t xml:space="preserve">strike price </t>
  </si>
  <si>
    <t xml:space="preserve">volatility </t>
  </si>
  <si>
    <t>time</t>
  </si>
  <si>
    <t>d1</t>
  </si>
  <si>
    <t>d2</t>
  </si>
  <si>
    <t>call</t>
  </si>
  <si>
    <t>Option price</t>
  </si>
  <si>
    <t>asset</t>
  </si>
  <si>
    <t>drift</t>
  </si>
  <si>
    <t>volatility</t>
  </si>
  <si>
    <t>timestep</t>
  </si>
  <si>
    <t>Column1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</si>
  <si>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</si>
  <si>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</si>
  <si>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</si>
  <si>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</si>
  <si>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</si>
  <si>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</si>
  <si>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</si>
  <si>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</si>
  <si>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</si>
  <si>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</si>
  <si>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</si>
  <si>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</si>
  <si>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</si>
  <si>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 xml:space="preserve">strike </t>
  </si>
  <si>
    <t>payoff</t>
  </si>
  <si>
    <t>call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</si>
</sst>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0.000"/>
  </numFmts>
  <fonts count="4" x14ac:knownFonts="1"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sz val="8"/>
      <name val="Aptos Narrow"/>
      <family val="2"/>
      <scheme val="minor"/>
    </font>
    <font>
      <i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4" fontId="1" fillId="0" borderId="0" xfId="0" applyNumberFormat="1" applyFont="1"/>
    <xf numFmtId="4" fontId="1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2" borderId="0" xfId="0" applyFont="1" applyFill="1"/>
    <xf numFmtId="170" fontId="0" fillId="0" borderId="0" xfId="0" applyNumberFormat="1"/>
    <xf numFmtId="2" fontId="0" fillId="0" borderId="0" xfId="0" applyNumberFormat="1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Continuous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22377263879655E-2"/>
          <c:y val="9.0486945710733541E-2"/>
          <c:w val="0.94708405091276104"/>
          <c:h val="0.80824266284896207"/>
        </c:manualLayout>
      </c:layout>
      <c:barChart>
        <c:barDir val="col"/>
        <c:grouping val="clustered"/>
        <c:varyColors val="0"/>
        <c:ser>
          <c:idx val="2"/>
          <c:order val="2"/>
          <c:tx>
            <c:v>histogram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'Q3 MACD'!$A$35:$A$189</c:f>
              <c:numCache>
                <c:formatCode>m/d/yy</c:formatCode>
                <c:ptCount val="155"/>
                <c:pt idx="0">
                  <c:v>45520</c:v>
                </c:pt>
                <c:pt idx="1">
                  <c:v>45523</c:v>
                </c:pt>
                <c:pt idx="2">
                  <c:v>45524</c:v>
                </c:pt>
                <c:pt idx="3">
                  <c:v>45525</c:v>
                </c:pt>
                <c:pt idx="4">
                  <c:v>45526</c:v>
                </c:pt>
                <c:pt idx="5">
                  <c:v>45527</c:v>
                </c:pt>
                <c:pt idx="6">
                  <c:v>45530</c:v>
                </c:pt>
                <c:pt idx="7">
                  <c:v>45531</c:v>
                </c:pt>
                <c:pt idx="8">
                  <c:v>45532</c:v>
                </c:pt>
                <c:pt idx="9">
                  <c:v>45533</c:v>
                </c:pt>
                <c:pt idx="10">
                  <c:v>45534</c:v>
                </c:pt>
                <c:pt idx="11">
                  <c:v>45538</c:v>
                </c:pt>
                <c:pt idx="12">
                  <c:v>45539</c:v>
                </c:pt>
                <c:pt idx="13">
                  <c:v>45540</c:v>
                </c:pt>
                <c:pt idx="14">
                  <c:v>45541</c:v>
                </c:pt>
                <c:pt idx="15">
                  <c:v>45544</c:v>
                </c:pt>
                <c:pt idx="16">
                  <c:v>45545</c:v>
                </c:pt>
                <c:pt idx="17">
                  <c:v>45546</c:v>
                </c:pt>
                <c:pt idx="18">
                  <c:v>45547</c:v>
                </c:pt>
                <c:pt idx="19">
                  <c:v>45548</c:v>
                </c:pt>
                <c:pt idx="20">
                  <c:v>45551</c:v>
                </c:pt>
                <c:pt idx="21">
                  <c:v>45552</c:v>
                </c:pt>
                <c:pt idx="22">
                  <c:v>45553</c:v>
                </c:pt>
                <c:pt idx="23">
                  <c:v>45554</c:v>
                </c:pt>
                <c:pt idx="24">
                  <c:v>45555</c:v>
                </c:pt>
                <c:pt idx="25">
                  <c:v>45558</c:v>
                </c:pt>
                <c:pt idx="26">
                  <c:v>45559</c:v>
                </c:pt>
                <c:pt idx="27">
                  <c:v>45560</c:v>
                </c:pt>
                <c:pt idx="28">
                  <c:v>45561</c:v>
                </c:pt>
                <c:pt idx="29">
                  <c:v>45562</c:v>
                </c:pt>
                <c:pt idx="30">
                  <c:v>45565</c:v>
                </c:pt>
                <c:pt idx="31">
                  <c:v>45566</c:v>
                </c:pt>
                <c:pt idx="32">
                  <c:v>45567</c:v>
                </c:pt>
                <c:pt idx="33">
                  <c:v>45568</c:v>
                </c:pt>
                <c:pt idx="34">
                  <c:v>45569</c:v>
                </c:pt>
                <c:pt idx="35">
                  <c:v>45572</c:v>
                </c:pt>
                <c:pt idx="36">
                  <c:v>45573</c:v>
                </c:pt>
                <c:pt idx="37">
                  <c:v>45574</c:v>
                </c:pt>
                <c:pt idx="38">
                  <c:v>45575</c:v>
                </c:pt>
                <c:pt idx="39">
                  <c:v>45576</c:v>
                </c:pt>
                <c:pt idx="40">
                  <c:v>45579</c:v>
                </c:pt>
                <c:pt idx="41">
                  <c:v>45580</c:v>
                </c:pt>
                <c:pt idx="42">
                  <c:v>45581</c:v>
                </c:pt>
                <c:pt idx="43">
                  <c:v>45582</c:v>
                </c:pt>
                <c:pt idx="44">
                  <c:v>45583</c:v>
                </c:pt>
                <c:pt idx="45">
                  <c:v>45586</c:v>
                </c:pt>
                <c:pt idx="46">
                  <c:v>45587</c:v>
                </c:pt>
                <c:pt idx="47">
                  <c:v>45588</c:v>
                </c:pt>
                <c:pt idx="48">
                  <c:v>45589</c:v>
                </c:pt>
                <c:pt idx="49">
                  <c:v>45590</c:v>
                </c:pt>
                <c:pt idx="50">
                  <c:v>45593</c:v>
                </c:pt>
                <c:pt idx="51">
                  <c:v>45594</c:v>
                </c:pt>
                <c:pt idx="52">
                  <c:v>45595</c:v>
                </c:pt>
                <c:pt idx="53">
                  <c:v>45596</c:v>
                </c:pt>
                <c:pt idx="54">
                  <c:v>45597</c:v>
                </c:pt>
                <c:pt idx="55">
                  <c:v>45600</c:v>
                </c:pt>
                <c:pt idx="56">
                  <c:v>45601</c:v>
                </c:pt>
                <c:pt idx="57">
                  <c:v>45602</c:v>
                </c:pt>
                <c:pt idx="58">
                  <c:v>45603</c:v>
                </c:pt>
                <c:pt idx="59">
                  <c:v>45604</c:v>
                </c:pt>
                <c:pt idx="60">
                  <c:v>45607</c:v>
                </c:pt>
                <c:pt idx="61">
                  <c:v>45608</c:v>
                </c:pt>
                <c:pt idx="62">
                  <c:v>45609</c:v>
                </c:pt>
                <c:pt idx="63">
                  <c:v>45610</c:v>
                </c:pt>
                <c:pt idx="64">
                  <c:v>45611</c:v>
                </c:pt>
                <c:pt idx="65">
                  <c:v>45614</c:v>
                </c:pt>
                <c:pt idx="66">
                  <c:v>45615</c:v>
                </c:pt>
                <c:pt idx="67">
                  <c:v>45616</c:v>
                </c:pt>
                <c:pt idx="68">
                  <c:v>45617</c:v>
                </c:pt>
                <c:pt idx="69">
                  <c:v>45618</c:v>
                </c:pt>
                <c:pt idx="70">
                  <c:v>45621</c:v>
                </c:pt>
                <c:pt idx="71">
                  <c:v>45622</c:v>
                </c:pt>
                <c:pt idx="72">
                  <c:v>45623</c:v>
                </c:pt>
                <c:pt idx="73">
                  <c:v>45625</c:v>
                </c:pt>
                <c:pt idx="74">
                  <c:v>45628</c:v>
                </c:pt>
                <c:pt idx="75">
                  <c:v>45629</c:v>
                </c:pt>
                <c:pt idx="76">
                  <c:v>45630</c:v>
                </c:pt>
                <c:pt idx="77">
                  <c:v>45631</c:v>
                </c:pt>
                <c:pt idx="78">
                  <c:v>45632</c:v>
                </c:pt>
                <c:pt idx="79">
                  <c:v>45635</c:v>
                </c:pt>
                <c:pt idx="80">
                  <c:v>45636</c:v>
                </c:pt>
                <c:pt idx="81">
                  <c:v>45637</c:v>
                </c:pt>
                <c:pt idx="82">
                  <c:v>45638</c:v>
                </c:pt>
                <c:pt idx="83">
                  <c:v>45639</c:v>
                </c:pt>
                <c:pt idx="84">
                  <c:v>45642</c:v>
                </c:pt>
                <c:pt idx="85">
                  <c:v>45643</c:v>
                </c:pt>
                <c:pt idx="86">
                  <c:v>45644</c:v>
                </c:pt>
                <c:pt idx="87">
                  <c:v>45645</c:v>
                </c:pt>
                <c:pt idx="88">
                  <c:v>45646</c:v>
                </c:pt>
                <c:pt idx="89">
                  <c:v>45649</c:v>
                </c:pt>
                <c:pt idx="90">
                  <c:v>45650</c:v>
                </c:pt>
                <c:pt idx="91">
                  <c:v>45652</c:v>
                </c:pt>
                <c:pt idx="92">
                  <c:v>45653</c:v>
                </c:pt>
                <c:pt idx="93">
                  <c:v>45656</c:v>
                </c:pt>
                <c:pt idx="94">
                  <c:v>45657</c:v>
                </c:pt>
                <c:pt idx="95">
                  <c:v>45659</c:v>
                </c:pt>
                <c:pt idx="96">
                  <c:v>45660</c:v>
                </c:pt>
                <c:pt idx="97">
                  <c:v>45663</c:v>
                </c:pt>
                <c:pt idx="98">
                  <c:v>45664</c:v>
                </c:pt>
                <c:pt idx="99">
                  <c:v>45665</c:v>
                </c:pt>
                <c:pt idx="100">
                  <c:v>45667</c:v>
                </c:pt>
                <c:pt idx="101">
                  <c:v>45670</c:v>
                </c:pt>
                <c:pt idx="102">
                  <c:v>45671</c:v>
                </c:pt>
                <c:pt idx="103">
                  <c:v>45672</c:v>
                </c:pt>
                <c:pt idx="104">
                  <c:v>45673</c:v>
                </c:pt>
                <c:pt idx="105">
                  <c:v>45674</c:v>
                </c:pt>
                <c:pt idx="106">
                  <c:v>45678</c:v>
                </c:pt>
                <c:pt idx="107">
                  <c:v>45679</c:v>
                </c:pt>
                <c:pt idx="108">
                  <c:v>45680</c:v>
                </c:pt>
                <c:pt idx="109">
                  <c:v>45681</c:v>
                </c:pt>
                <c:pt idx="110">
                  <c:v>45684</c:v>
                </c:pt>
                <c:pt idx="111">
                  <c:v>45685</c:v>
                </c:pt>
                <c:pt idx="112">
                  <c:v>45686</c:v>
                </c:pt>
                <c:pt idx="113">
                  <c:v>45687</c:v>
                </c:pt>
                <c:pt idx="114">
                  <c:v>45688</c:v>
                </c:pt>
                <c:pt idx="115">
                  <c:v>45691</c:v>
                </c:pt>
                <c:pt idx="116">
                  <c:v>45692</c:v>
                </c:pt>
                <c:pt idx="117">
                  <c:v>45693</c:v>
                </c:pt>
                <c:pt idx="118">
                  <c:v>45694</c:v>
                </c:pt>
                <c:pt idx="119">
                  <c:v>45695</c:v>
                </c:pt>
                <c:pt idx="120">
                  <c:v>45698</c:v>
                </c:pt>
                <c:pt idx="121">
                  <c:v>45699</c:v>
                </c:pt>
                <c:pt idx="122">
                  <c:v>45700</c:v>
                </c:pt>
                <c:pt idx="123">
                  <c:v>45701</c:v>
                </c:pt>
                <c:pt idx="124">
                  <c:v>45702</c:v>
                </c:pt>
                <c:pt idx="125">
                  <c:v>45706</c:v>
                </c:pt>
                <c:pt idx="126">
                  <c:v>45707</c:v>
                </c:pt>
                <c:pt idx="127">
                  <c:v>45708</c:v>
                </c:pt>
                <c:pt idx="128">
                  <c:v>45709</c:v>
                </c:pt>
                <c:pt idx="129">
                  <c:v>45712</c:v>
                </c:pt>
                <c:pt idx="130">
                  <c:v>45713</c:v>
                </c:pt>
                <c:pt idx="131">
                  <c:v>45714</c:v>
                </c:pt>
                <c:pt idx="132">
                  <c:v>45715</c:v>
                </c:pt>
                <c:pt idx="133">
                  <c:v>45716</c:v>
                </c:pt>
                <c:pt idx="134">
                  <c:v>45719</c:v>
                </c:pt>
                <c:pt idx="135">
                  <c:v>45720</c:v>
                </c:pt>
                <c:pt idx="136">
                  <c:v>45721</c:v>
                </c:pt>
                <c:pt idx="137">
                  <c:v>45722</c:v>
                </c:pt>
                <c:pt idx="138">
                  <c:v>45723</c:v>
                </c:pt>
                <c:pt idx="139">
                  <c:v>45726</c:v>
                </c:pt>
                <c:pt idx="140">
                  <c:v>45727</c:v>
                </c:pt>
                <c:pt idx="141">
                  <c:v>45728</c:v>
                </c:pt>
                <c:pt idx="142">
                  <c:v>45729</c:v>
                </c:pt>
                <c:pt idx="143">
                  <c:v>45730</c:v>
                </c:pt>
                <c:pt idx="144">
                  <c:v>45733</c:v>
                </c:pt>
                <c:pt idx="145">
                  <c:v>45734</c:v>
                </c:pt>
                <c:pt idx="146">
                  <c:v>45735</c:v>
                </c:pt>
                <c:pt idx="147">
                  <c:v>45736</c:v>
                </c:pt>
                <c:pt idx="148">
                  <c:v>45737</c:v>
                </c:pt>
                <c:pt idx="149">
                  <c:v>45740</c:v>
                </c:pt>
                <c:pt idx="150">
                  <c:v>45741</c:v>
                </c:pt>
                <c:pt idx="151">
                  <c:v>45742</c:v>
                </c:pt>
                <c:pt idx="152">
                  <c:v>45743</c:v>
                </c:pt>
                <c:pt idx="153">
                  <c:v>45744</c:v>
                </c:pt>
                <c:pt idx="154">
                  <c:v>45747</c:v>
                </c:pt>
              </c:numCache>
            </c:numRef>
          </c:cat>
          <c:val>
            <c:numRef>
              <c:f>'Q3 MACD'!$G$35:$G$189</c:f>
              <c:numCache>
                <c:formatCode>General</c:formatCode>
                <c:ptCount val="155"/>
                <c:pt idx="1">
                  <c:v>2.5369685885665731</c:v>
                </c:pt>
                <c:pt idx="2">
                  <c:v>2.4555290204406051</c:v>
                </c:pt>
                <c:pt idx="3">
                  <c:v>2.2954891067514245</c:v>
                </c:pt>
                <c:pt idx="4">
                  <c:v>1.9770226036108789</c:v>
                </c:pt>
                <c:pt idx="5">
                  <c:v>1.8382037241044731</c:v>
                </c:pt>
                <c:pt idx="6">
                  <c:v>1.6893511739517968</c:v>
                </c:pt>
                <c:pt idx="7">
                  <c:v>1.5707094455696771</c:v>
                </c:pt>
                <c:pt idx="8">
                  <c:v>1.321118489367894</c:v>
                </c:pt>
                <c:pt idx="9">
                  <c:v>1.3084014610358878</c:v>
                </c:pt>
                <c:pt idx="10">
                  <c:v>1.1808227127148052</c:v>
                </c:pt>
                <c:pt idx="11">
                  <c:v>0.638079327360485</c:v>
                </c:pt>
                <c:pt idx="12">
                  <c:v>0.13717011488740682</c:v>
                </c:pt>
                <c:pt idx="13">
                  <c:v>-9.1401458122769452E-2</c:v>
                </c:pt>
                <c:pt idx="14">
                  <c:v>-0.33428323400551829</c:v>
                </c:pt>
                <c:pt idx="15">
                  <c:v>-0.4673410593712391</c:v>
                </c:pt>
                <c:pt idx="16">
                  <c:v>-0.58032080511312878</c:v>
                </c:pt>
                <c:pt idx="17">
                  <c:v>-0.45968157227100354</c:v>
                </c:pt>
                <c:pt idx="18">
                  <c:v>-0.3536059899644739</c:v>
                </c:pt>
                <c:pt idx="19">
                  <c:v>-0.2856640516474464</c:v>
                </c:pt>
                <c:pt idx="20">
                  <c:v>-0.621696478291621</c:v>
                </c:pt>
                <c:pt idx="21">
                  <c:v>-0.76751239911982017</c:v>
                </c:pt>
                <c:pt idx="22">
                  <c:v>-0.56581648478547519</c:v>
                </c:pt>
                <c:pt idx="23">
                  <c:v>0.11754909365097066</c:v>
                </c:pt>
                <c:pt idx="24">
                  <c:v>0.50193849027631843</c:v>
                </c:pt>
                <c:pt idx="25">
                  <c:v>0.60999433793139302</c:v>
                </c:pt>
                <c:pt idx="26">
                  <c:v>0.70563535982964498</c:v>
                </c:pt>
                <c:pt idx="27">
                  <c:v>0.66561950207744958</c:v>
                </c:pt>
                <c:pt idx="28">
                  <c:v>0.67836513337904458</c:v>
                </c:pt>
                <c:pt idx="29">
                  <c:v>0.66580682128800284</c:v>
                </c:pt>
                <c:pt idx="30">
                  <c:v>0.95178856600340533</c:v>
                </c:pt>
                <c:pt idx="31">
                  <c:v>0.64191651454176846</c:v>
                </c:pt>
                <c:pt idx="32">
                  <c:v>0.44305380033458086</c:v>
                </c:pt>
                <c:pt idx="33">
                  <c:v>0.2159708157488005</c:v>
                </c:pt>
                <c:pt idx="34">
                  <c:v>0.12556330347211708</c:v>
                </c:pt>
                <c:pt idx="35">
                  <c:v>-0.27294776580995639</c:v>
                </c:pt>
                <c:pt idx="36">
                  <c:v>-0.25657513325083725</c:v>
                </c:pt>
                <c:pt idx="37">
                  <c:v>-2.1840361883074255E-4</c:v>
                </c:pt>
                <c:pt idx="38">
                  <c:v>0.1206161387017689</c:v>
                </c:pt>
                <c:pt idx="39">
                  <c:v>8.6719257380837078E-2</c:v>
                </c:pt>
                <c:pt idx="40">
                  <c:v>0.29182355557351358</c:v>
                </c:pt>
                <c:pt idx="41">
                  <c:v>0.55873093513877037</c:v>
                </c:pt>
                <c:pt idx="42">
                  <c:v>0.55427249524497135</c:v>
                </c:pt>
                <c:pt idx="43">
                  <c:v>0.53441273631081998</c:v>
                </c:pt>
                <c:pt idx="44">
                  <c:v>0.66299058189653692</c:v>
                </c:pt>
                <c:pt idx="45">
                  <c:v>0.78892469007510035</c:v>
                </c:pt>
                <c:pt idx="46">
                  <c:v>0.77078486784871059</c:v>
                </c:pt>
                <c:pt idx="47">
                  <c:v>0.37563330814542084</c:v>
                </c:pt>
                <c:pt idx="48">
                  <c:v>7.7381178091999736E-2</c:v>
                </c:pt>
                <c:pt idx="49">
                  <c:v>-7.894557084041276E-2</c:v>
                </c:pt>
                <c:pt idx="50">
                  <c:v>-6.4551087625644321E-2</c:v>
                </c:pt>
                <c:pt idx="51">
                  <c:v>-5.3525682897145099E-2</c:v>
                </c:pt>
                <c:pt idx="52">
                  <c:v>-0.2901277544297951</c:v>
                </c:pt>
                <c:pt idx="53">
                  <c:v>-0.70844055091316016</c:v>
                </c:pt>
                <c:pt idx="54">
                  <c:v>-1.1411597621917908</c:v>
                </c:pt>
                <c:pt idx="55">
                  <c:v>-1.4236067511276591</c:v>
                </c:pt>
                <c:pt idx="56">
                  <c:v>-1.4444816633890427</c:v>
                </c:pt>
                <c:pt idx="57">
                  <c:v>-1.4355060326740399</c:v>
                </c:pt>
                <c:pt idx="58">
                  <c:v>-1.0546603943357342</c:v>
                </c:pt>
                <c:pt idx="59">
                  <c:v>-0.7952518778003822</c:v>
                </c:pt>
                <c:pt idx="60">
                  <c:v>-0.76478091681672145</c:v>
                </c:pt>
                <c:pt idx="61">
                  <c:v>-0.70343560589014031</c:v>
                </c:pt>
                <c:pt idx="62">
                  <c:v>-0.5675536802879988</c:v>
                </c:pt>
                <c:pt idx="63">
                  <c:v>-0.24974619701699674</c:v>
                </c:pt>
                <c:pt idx="64">
                  <c:v>-0.23732970533409925</c:v>
                </c:pt>
                <c:pt idx="65">
                  <c:v>-1.8214119155682162E-2</c:v>
                </c:pt>
                <c:pt idx="66">
                  <c:v>0.14287481545189074</c:v>
                </c:pt>
                <c:pt idx="67">
                  <c:v>0.28817970563008033</c:v>
                </c:pt>
                <c:pt idx="68">
                  <c:v>0.33873632367651274</c:v>
                </c:pt>
                <c:pt idx="69">
                  <c:v>0.44327057505635042</c:v>
                </c:pt>
                <c:pt idx="70">
                  <c:v>0.6804459450911774</c:v>
                </c:pt>
                <c:pt idx="71">
                  <c:v>0.93508189216129112</c:v>
                </c:pt>
                <c:pt idx="72">
                  <c:v>1.037125132701384</c:v>
                </c:pt>
                <c:pt idx="73">
                  <c:v>1.1972718172052226</c:v>
                </c:pt>
                <c:pt idx="74">
                  <c:v>1.3737781633141504</c:v>
                </c:pt>
                <c:pt idx="75">
                  <c:v>1.5992086867851476</c:v>
                </c:pt>
                <c:pt idx="76">
                  <c:v>1.6675338838696465</c:v>
                </c:pt>
                <c:pt idx="77">
                  <c:v>1.6089463101892942</c:v>
                </c:pt>
                <c:pt idx="78">
                  <c:v>1.4555383511507998</c:v>
                </c:pt>
                <c:pt idx="79">
                  <c:v>1.5097138422165641</c:v>
                </c:pt>
                <c:pt idx="80">
                  <c:v>1.5032846578223551</c:v>
                </c:pt>
                <c:pt idx="81">
                  <c:v>1.3089997488281875</c:v>
                </c:pt>
                <c:pt idx="82">
                  <c:v>1.1796703472825483</c:v>
                </c:pt>
                <c:pt idx="83">
                  <c:v>1.0121817900368759</c:v>
                </c:pt>
                <c:pt idx="84">
                  <c:v>1.0021092720142057</c:v>
                </c:pt>
                <c:pt idx="85">
                  <c:v>1.0589517840288032</c:v>
                </c:pt>
                <c:pt idx="86">
                  <c:v>0.65009698253886405</c:v>
                </c:pt>
                <c:pt idx="87">
                  <c:v>0.42687591834342786</c:v>
                </c:pt>
                <c:pt idx="88">
                  <c:v>0.51963544973577935</c:v>
                </c:pt>
                <c:pt idx="89">
                  <c:v>0.55423329250111752</c:v>
                </c:pt>
                <c:pt idx="90">
                  <c:v>0.68650760695072144</c:v>
                </c:pt>
                <c:pt idx="91">
                  <c:v>0.7368496430501823</c:v>
                </c:pt>
                <c:pt idx="92">
                  <c:v>0.46029460104220199</c:v>
                </c:pt>
                <c:pt idx="93">
                  <c:v>-5.1521221381944926E-3</c:v>
                </c:pt>
                <c:pt idx="94">
                  <c:v>-0.46183482381914764</c:v>
                </c:pt>
                <c:pt idx="95">
                  <c:v>-1.1937183394606121</c:v>
                </c:pt>
                <c:pt idx="96">
                  <c:v>-1.6689937289253036</c:v>
                </c:pt>
                <c:pt idx="97">
                  <c:v>-1.8187817967142585</c:v>
                </c:pt>
                <c:pt idx="98">
                  <c:v>-2.0352754580833761</c:v>
                </c:pt>
                <c:pt idx="99">
                  <c:v>-2.0682691959538833</c:v>
                </c:pt>
                <c:pt idx="100">
                  <c:v>-2.3844091352395438</c:v>
                </c:pt>
                <c:pt idx="101">
                  <c:v>-2.6390324423892992</c:v>
                </c:pt>
                <c:pt idx="102">
                  <c:v>-2.7508581601504876</c:v>
                </c:pt>
                <c:pt idx="103">
                  <c:v>-2.3966504038364875</c:v>
                </c:pt>
                <c:pt idx="104">
                  <c:v>-2.6696584255753453</c:v>
                </c:pt>
                <c:pt idx="105">
                  <c:v>-2.5923427915625861</c:v>
                </c:pt>
                <c:pt idx="106">
                  <c:v>-2.871783650903728</c:v>
                </c:pt>
                <c:pt idx="107">
                  <c:v>-2.8092737689493377</c:v>
                </c:pt>
                <c:pt idx="108">
                  <c:v>-2.6161017779573044</c:v>
                </c:pt>
                <c:pt idx="109">
                  <c:v>-2.3905076195111121</c:v>
                </c:pt>
                <c:pt idx="110">
                  <c:v>-1.6429808387854337</c:v>
                </c:pt>
                <c:pt idx="111">
                  <c:v>-0.51951938909348838</c:v>
                </c:pt>
                <c:pt idx="112">
                  <c:v>0.31599206632363419</c:v>
                </c:pt>
                <c:pt idx="113">
                  <c:v>0.74334624774302549</c:v>
                </c:pt>
                <c:pt idx="114">
                  <c:v>0.90226568780680516</c:v>
                </c:pt>
                <c:pt idx="115">
                  <c:v>0.47411511833883146</c:v>
                </c:pt>
                <c:pt idx="116">
                  <c:v>0.51495394000064776</c:v>
                </c:pt>
                <c:pt idx="117">
                  <c:v>0.51968526473360388</c:v>
                </c:pt>
                <c:pt idx="118">
                  <c:v>0.56927569513259835</c:v>
                </c:pt>
                <c:pt idx="119">
                  <c:v>0.23848184852615395</c:v>
                </c:pt>
                <c:pt idx="120">
                  <c:v>4.4084812055113609E-2</c:v>
                </c:pt>
                <c:pt idx="121">
                  <c:v>0.26116622530265321</c:v>
                </c:pt>
                <c:pt idx="122">
                  <c:v>0.67823062417438207</c:v>
                </c:pt>
                <c:pt idx="123">
                  <c:v>1.2233966965467569</c:v>
                </c:pt>
                <c:pt idx="124">
                  <c:v>1.7160174557603567</c:v>
                </c:pt>
                <c:pt idx="125">
                  <c:v>1.9417521613298776</c:v>
                </c:pt>
                <c:pt idx="126">
                  <c:v>2.0177721885140989</c:v>
                </c:pt>
                <c:pt idx="127">
                  <c:v>2.0271078410665022</c:v>
                </c:pt>
                <c:pt idx="128">
                  <c:v>1.9104035372119992</c:v>
                </c:pt>
                <c:pt idx="129">
                  <c:v>1.8332497916242751</c:v>
                </c:pt>
                <c:pt idx="130">
                  <c:v>1.6780053107208965</c:v>
                </c:pt>
                <c:pt idx="131">
                  <c:v>1.0556557940072748</c:v>
                </c:pt>
                <c:pt idx="132">
                  <c:v>0.40177237015423861</c:v>
                </c:pt>
                <c:pt idx="133">
                  <c:v>0.24650027830149757</c:v>
                </c:pt>
                <c:pt idx="134">
                  <c:v>-0.12155158760389151</c:v>
                </c:pt>
                <c:pt idx="135">
                  <c:v>-0.49427056088492427</c:v>
                </c:pt>
                <c:pt idx="136">
                  <c:v>-0.72735796170315692</c:v>
                </c:pt>
                <c:pt idx="137">
                  <c:v>-0.87309026142100477</c:v>
                </c:pt>
                <c:pt idx="138">
                  <c:v>-0.6895972939991506</c:v>
                </c:pt>
                <c:pt idx="139">
                  <c:v>-1.2861243664480477</c:v>
                </c:pt>
                <c:pt idx="140">
                  <c:v>-2.0214531800517861</c:v>
                </c:pt>
                <c:pt idx="141">
                  <c:v>-2.6232126783840783</c:v>
                </c:pt>
                <c:pt idx="142">
                  <c:v>-3.3232622215261927</c:v>
                </c:pt>
                <c:pt idx="143">
                  <c:v>-3.3316316748880581</c:v>
                </c:pt>
                <c:pt idx="144">
                  <c:v>-3.1090355355620884</c:v>
                </c:pt>
                <c:pt idx="145">
                  <c:v>-2.8624055220020086</c:v>
                </c:pt>
                <c:pt idx="146">
                  <c:v>-2.3607801110071946</c:v>
                </c:pt>
                <c:pt idx="147">
                  <c:v>-1.9557310420005312</c:v>
                </c:pt>
                <c:pt idx="148">
                  <c:v>-1.2891181931463684</c:v>
                </c:pt>
                <c:pt idx="149">
                  <c:v>-0.59969722548295579</c:v>
                </c:pt>
                <c:pt idx="150">
                  <c:v>0.10498356586543878</c:v>
                </c:pt>
                <c:pt idx="151">
                  <c:v>0.44764455036820472</c:v>
                </c:pt>
                <c:pt idx="152">
                  <c:v>0.83414759965391649</c:v>
                </c:pt>
                <c:pt idx="153">
                  <c:v>0.69819560639169786</c:v>
                </c:pt>
                <c:pt idx="154">
                  <c:v>0.88997823087982386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C-C94E-9690-BFDCE76D1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4160"/>
        <c:axId val="245863472"/>
      </c:barChart>
      <c:lineChart>
        <c:grouping val="standard"/>
        <c:varyColors val="0"/>
        <c:ser>
          <c:idx val="0"/>
          <c:order val="0"/>
          <c:tx>
            <c:v>MACD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'Q3 MACD'!$A$35:$A$189</c:f>
              <c:numCache>
                <c:formatCode>m/d/yy</c:formatCode>
                <c:ptCount val="155"/>
                <c:pt idx="0">
                  <c:v>45520</c:v>
                </c:pt>
                <c:pt idx="1">
                  <c:v>45523</c:v>
                </c:pt>
                <c:pt idx="2">
                  <c:v>45524</c:v>
                </c:pt>
                <c:pt idx="3">
                  <c:v>45525</c:v>
                </c:pt>
                <c:pt idx="4">
                  <c:v>45526</c:v>
                </c:pt>
                <c:pt idx="5">
                  <c:v>45527</c:v>
                </c:pt>
                <c:pt idx="6">
                  <c:v>45530</c:v>
                </c:pt>
                <c:pt idx="7">
                  <c:v>45531</c:v>
                </c:pt>
                <c:pt idx="8">
                  <c:v>45532</c:v>
                </c:pt>
                <c:pt idx="9">
                  <c:v>45533</c:v>
                </c:pt>
                <c:pt idx="10">
                  <c:v>45534</c:v>
                </c:pt>
                <c:pt idx="11">
                  <c:v>45538</c:v>
                </c:pt>
                <c:pt idx="12">
                  <c:v>45539</c:v>
                </c:pt>
                <c:pt idx="13">
                  <c:v>45540</c:v>
                </c:pt>
                <c:pt idx="14">
                  <c:v>45541</c:v>
                </c:pt>
                <c:pt idx="15">
                  <c:v>45544</c:v>
                </c:pt>
                <c:pt idx="16">
                  <c:v>45545</c:v>
                </c:pt>
                <c:pt idx="17">
                  <c:v>45546</c:v>
                </c:pt>
                <c:pt idx="18">
                  <c:v>45547</c:v>
                </c:pt>
                <c:pt idx="19">
                  <c:v>45548</c:v>
                </c:pt>
                <c:pt idx="20">
                  <c:v>45551</c:v>
                </c:pt>
                <c:pt idx="21">
                  <c:v>45552</c:v>
                </c:pt>
                <c:pt idx="22">
                  <c:v>45553</c:v>
                </c:pt>
                <c:pt idx="23">
                  <c:v>45554</c:v>
                </c:pt>
                <c:pt idx="24">
                  <c:v>45555</c:v>
                </c:pt>
                <c:pt idx="25">
                  <c:v>45558</c:v>
                </c:pt>
                <c:pt idx="26">
                  <c:v>45559</c:v>
                </c:pt>
                <c:pt idx="27">
                  <c:v>45560</c:v>
                </c:pt>
                <c:pt idx="28">
                  <c:v>45561</c:v>
                </c:pt>
                <c:pt idx="29">
                  <c:v>45562</c:v>
                </c:pt>
                <c:pt idx="30">
                  <c:v>45565</c:v>
                </c:pt>
                <c:pt idx="31">
                  <c:v>45566</c:v>
                </c:pt>
                <c:pt idx="32">
                  <c:v>45567</c:v>
                </c:pt>
                <c:pt idx="33">
                  <c:v>45568</c:v>
                </c:pt>
                <c:pt idx="34">
                  <c:v>45569</c:v>
                </c:pt>
                <c:pt idx="35">
                  <c:v>45572</c:v>
                </c:pt>
                <c:pt idx="36">
                  <c:v>45573</c:v>
                </c:pt>
                <c:pt idx="37">
                  <c:v>45574</c:v>
                </c:pt>
                <c:pt idx="38">
                  <c:v>45575</c:v>
                </c:pt>
                <c:pt idx="39">
                  <c:v>45576</c:v>
                </c:pt>
                <c:pt idx="40">
                  <c:v>45579</c:v>
                </c:pt>
                <c:pt idx="41">
                  <c:v>45580</c:v>
                </c:pt>
                <c:pt idx="42">
                  <c:v>45581</c:v>
                </c:pt>
                <c:pt idx="43">
                  <c:v>45582</c:v>
                </c:pt>
                <c:pt idx="44">
                  <c:v>45583</c:v>
                </c:pt>
                <c:pt idx="45">
                  <c:v>45586</c:v>
                </c:pt>
                <c:pt idx="46">
                  <c:v>45587</c:v>
                </c:pt>
                <c:pt idx="47">
                  <c:v>45588</c:v>
                </c:pt>
                <c:pt idx="48">
                  <c:v>45589</c:v>
                </c:pt>
                <c:pt idx="49">
                  <c:v>45590</c:v>
                </c:pt>
                <c:pt idx="50">
                  <c:v>45593</c:v>
                </c:pt>
                <c:pt idx="51">
                  <c:v>45594</c:v>
                </c:pt>
                <c:pt idx="52">
                  <c:v>45595</c:v>
                </c:pt>
                <c:pt idx="53">
                  <c:v>45596</c:v>
                </c:pt>
                <c:pt idx="54">
                  <c:v>45597</c:v>
                </c:pt>
                <c:pt idx="55">
                  <c:v>45600</c:v>
                </c:pt>
                <c:pt idx="56">
                  <c:v>45601</c:v>
                </c:pt>
                <c:pt idx="57">
                  <c:v>45602</c:v>
                </c:pt>
                <c:pt idx="58">
                  <c:v>45603</c:v>
                </c:pt>
                <c:pt idx="59">
                  <c:v>45604</c:v>
                </c:pt>
                <c:pt idx="60">
                  <c:v>45607</c:v>
                </c:pt>
                <c:pt idx="61">
                  <c:v>45608</c:v>
                </c:pt>
                <c:pt idx="62">
                  <c:v>45609</c:v>
                </c:pt>
                <c:pt idx="63">
                  <c:v>45610</c:v>
                </c:pt>
                <c:pt idx="64">
                  <c:v>45611</c:v>
                </c:pt>
                <c:pt idx="65">
                  <c:v>45614</c:v>
                </c:pt>
                <c:pt idx="66">
                  <c:v>45615</c:v>
                </c:pt>
                <c:pt idx="67">
                  <c:v>45616</c:v>
                </c:pt>
                <c:pt idx="68">
                  <c:v>45617</c:v>
                </c:pt>
                <c:pt idx="69">
                  <c:v>45618</c:v>
                </c:pt>
                <c:pt idx="70">
                  <c:v>45621</c:v>
                </c:pt>
                <c:pt idx="71">
                  <c:v>45622</c:v>
                </c:pt>
                <c:pt idx="72">
                  <c:v>45623</c:v>
                </c:pt>
                <c:pt idx="73">
                  <c:v>45625</c:v>
                </c:pt>
                <c:pt idx="74">
                  <c:v>45628</c:v>
                </c:pt>
                <c:pt idx="75">
                  <c:v>45629</c:v>
                </c:pt>
                <c:pt idx="76">
                  <c:v>45630</c:v>
                </c:pt>
                <c:pt idx="77">
                  <c:v>45631</c:v>
                </c:pt>
                <c:pt idx="78">
                  <c:v>45632</c:v>
                </c:pt>
                <c:pt idx="79">
                  <c:v>45635</c:v>
                </c:pt>
                <c:pt idx="80">
                  <c:v>45636</c:v>
                </c:pt>
                <c:pt idx="81">
                  <c:v>45637</c:v>
                </c:pt>
                <c:pt idx="82">
                  <c:v>45638</c:v>
                </c:pt>
                <c:pt idx="83">
                  <c:v>45639</c:v>
                </c:pt>
                <c:pt idx="84">
                  <c:v>45642</c:v>
                </c:pt>
                <c:pt idx="85">
                  <c:v>45643</c:v>
                </c:pt>
                <c:pt idx="86">
                  <c:v>45644</c:v>
                </c:pt>
                <c:pt idx="87">
                  <c:v>45645</c:v>
                </c:pt>
                <c:pt idx="88">
                  <c:v>45646</c:v>
                </c:pt>
                <c:pt idx="89">
                  <c:v>45649</c:v>
                </c:pt>
                <c:pt idx="90">
                  <c:v>45650</c:v>
                </c:pt>
                <c:pt idx="91">
                  <c:v>45652</c:v>
                </c:pt>
                <c:pt idx="92">
                  <c:v>45653</c:v>
                </c:pt>
                <c:pt idx="93">
                  <c:v>45656</c:v>
                </c:pt>
                <c:pt idx="94">
                  <c:v>45657</c:v>
                </c:pt>
                <c:pt idx="95">
                  <c:v>45659</c:v>
                </c:pt>
                <c:pt idx="96">
                  <c:v>45660</c:v>
                </c:pt>
                <c:pt idx="97">
                  <c:v>45663</c:v>
                </c:pt>
                <c:pt idx="98">
                  <c:v>45664</c:v>
                </c:pt>
                <c:pt idx="99">
                  <c:v>45665</c:v>
                </c:pt>
                <c:pt idx="100">
                  <c:v>45667</c:v>
                </c:pt>
                <c:pt idx="101">
                  <c:v>45670</c:v>
                </c:pt>
                <c:pt idx="102">
                  <c:v>45671</c:v>
                </c:pt>
                <c:pt idx="103">
                  <c:v>45672</c:v>
                </c:pt>
                <c:pt idx="104">
                  <c:v>45673</c:v>
                </c:pt>
                <c:pt idx="105">
                  <c:v>45674</c:v>
                </c:pt>
                <c:pt idx="106">
                  <c:v>45678</c:v>
                </c:pt>
                <c:pt idx="107">
                  <c:v>45679</c:v>
                </c:pt>
                <c:pt idx="108">
                  <c:v>45680</c:v>
                </c:pt>
                <c:pt idx="109">
                  <c:v>45681</c:v>
                </c:pt>
                <c:pt idx="110">
                  <c:v>45684</c:v>
                </c:pt>
                <c:pt idx="111">
                  <c:v>45685</c:v>
                </c:pt>
                <c:pt idx="112">
                  <c:v>45686</c:v>
                </c:pt>
                <c:pt idx="113">
                  <c:v>45687</c:v>
                </c:pt>
                <c:pt idx="114">
                  <c:v>45688</c:v>
                </c:pt>
                <c:pt idx="115">
                  <c:v>45691</c:v>
                </c:pt>
                <c:pt idx="116">
                  <c:v>45692</c:v>
                </c:pt>
                <c:pt idx="117">
                  <c:v>45693</c:v>
                </c:pt>
                <c:pt idx="118">
                  <c:v>45694</c:v>
                </c:pt>
                <c:pt idx="119">
                  <c:v>45695</c:v>
                </c:pt>
                <c:pt idx="120">
                  <c:v>45698</c:v>
                </c:pt>
                <c:pt idx="121">
                  <c:v>45699</c:v>
                </c:pt>
                <c:pt idx="122">
                  <c:v>45700</c:v>
                </c:pt>
                <c:pt idx="123">
                  <c:v>45701</c:v>
                </c:pt>
                <c:pt idx="124">
                  <c:v>45702</c:v>
                </c:pt>
                <c:pt idx="125">
                  <c:v>45706</c:v>
                </c:pt>
                <c:pt idx="126">
                  <c:v>45707</c:v>
                </c:pt>
                <c:pt idx="127">
                  <c:v>45708</c:v>
                </c:pt>
                <c:pt idx="128">
                  <c:v>45709</c:v>
                </c:pt>
                <c:pt idx="129">
                  <c:v>45712</c:v>
                </c:pt>
                <c:pt idx="130">
                  <c:v>45713</c:v>
                </c:pt>
                <c:pt idx="131">
                  <c:v>45714</c:v>
                </c:pt>
                <c:pt idx="132">
                  <c:v>45715</c:v>
                </c:pt>
                <c:pt idx="133">
                  <c:v>45716</c:v>
                </c:pt>
                <c:pt idx="134">
                  <c:v>45719</c:v>
                </c:pt>
                <c:pt idx="135">
                  <c:v>45720</c:v>
                </c:pt>
                <c:pt idx="136">
                  <c:v>45721</c:v>
                </c:pt>
                <c:pt idx="137">
                  <c:v>45722</c:v>
                </c:pt>
                <c:pt idx="138">
                  <c:v>45723</c:v>
                </c:pt>
                <c:pt idx="139">
                  <c:v>45726</c:v>
                </c:pt>
                <c:pt idx="140">
                  <c:v>45727</c:v>
                </c:pt>
                <c:pt idx="141">
                  <c:v>45728</c:v>
                </c:pt>
                <c:pt idx="142">
                  <c:v>45729</c:v>
                </c:pt>
                <c:pt idx="143">
                  <c:v>45730</c:v>
                </c:pt>
                <c:pt idx="144">
                  <c:v>45733</c:v>
                </c:pt>
                <c:pt idx="145">
                  <c:v>45734</c:v>
                </c:pt>
                <c:pt idx="146">
                  <c:v>45735</c:v>
                </c:pt>
                <c:pt idx="147">
                  <c:v>45736</c:v>
                </c:pt>
                <c:pt idx="148">
                  <c:v>45737</c:v>
                </c:pt>
                <c:pt idx="149">
                  <c:v>45740</c:v>
                </c:pt>
                <c:pt idx="150">
                  <c:v>45741</c:v>
                </c:pt>
                <c:pt idx="151">
                  <c:v>45742</c:v>
                </c:pt>
                <c:pt idx="152">
                  <c:v>45743</c:v>
                </c:pt>
                <c:pt idx="153">
                  <c:v>45744</c:v>
                </c:pt>
                <c:pt idx="154">
                  <c:v>45747</c:v>
                </c:pt>
              </c:numCache>
            </c:numRef>
          </c:cat>
          <c:val>
            <c:numRef>
              <c:f>'Q3 MACD'!$E$35:$E$189</c:f>
              <c:numCache>
                <c:formatCode>General</c:formatCode>
                <c:ptCount val="155"/>
                <c:pt idx="0">
                  <c:v>-1.6125585077416247</c:v>
                </c:pt>
                <c:pt idx="1">
                  <c:v>-1.0107978099538855</c:v>
                </c:pt>
                <c:pt idx="2">
                  <c:v>-0.47835512296970251</c:v>
                </c:pt>
                <c:pt idx="3">
                  <c:v>-6.4522759971026744E-2</c:v>
                </c:pt>
                <c:pt idx="4">
                  <c:v>0.11126638779114728</c:v>
                </c:pt>
                <c:pt idx="5">
                  <c:v>0.43199843931085979</c:v>
                </c:pt>
                <c:pt idx="6">
                  <c:v>0.70548368264613259</c:v>
                </c:pt>
                <c:pt idx="7">
                  <c:v>0.97951931565643235</c:v>
                </c:pt>
                <c:pt idx="8">
                  <c:v>1.0602079817966228</c:v>
                </c:pt>
                <c:pt idx="9">
                  <c:v>1.3745913187235885</c:v>
                </c:pt>
                <c:pt idx="10">
                  <c:v>1.5422182485812073</c:v>
                </c:pt>
                <c:pt idx="11">
                  <c:v>1.1589946950670083</c:v>
                </c:pt>
                <c:pt idx="12">
                  <c:v>0.69237801131578181</c:v>
                </c:pt>
                <c:pt idx="13">
                  <c:v>0.44095607377491319</c:v>
                </c:pt>
                <c:pt idx="14">
                  <c:v>0.11450348939078481</c:v>
                </c:pt>
                <c:pt idx="15">
                  <c:v>-0.13538960081774576</c:v>
                </c:pt>
                <c:pt idx="16">
                  <c:v>-0.39344954783791763</c:v>
                </c:pt>
                <c:pt idx="17">
                  <c:v>-0.38773070806354326</c:v>
                </c:pt>
                <c:pt idx="18">
                  <c:v>-0.37005662324813215</c:v>
                </c:pt>
                <c:pt idx="19">
                  <c:v>-0.37353069784296622</c:v>
                </c:pt>
                <c:pt idx="20">
                  <c:v>-0.86498724406004612</c:v>
                </c:pt>
                <c:pt idx="21">
                  <c:v>-1.2026812646682004</c:v>
                </c:pt>
                <c:pt idx="22">
                  <c:v>-1.1424394715302242</c:v>
                </c:pt>
                <c:pt idx="23">
                  <c:v>-0.42968661968103561</c:v>
                </c:pt>
                <c:pt idx="24">
                  <c:v>8.0187399513391711E-2</c:v>
                </c:pt>
                <c:pt idx="25">
                  <c:v>0.34074183165131444</c:v>
                </c:pt>
                <c:pt idx="26">
                  <c:v>0.61279169350697771</c:v>
                </c:pt>
                <c:pt idx="27">
                  <c:v>0.73918071127414464</c:v>
                </c:pt>
                <c:pt idx="28">
                  <c:v>0.9215176259205009</c:v>
                </c:pt>
                <c:pt idx="29">
                  <c:v>1.0754110191514599</c:v>
                </c:pt>
                <c:pt idx="30">
                  <c:v>1.5993399053677138</c:v>
                </c:pt>
                <c:pt idx="31">
                  <c:v>1.449946982541519</c:v>
                </c:pt>
                <c:pt idx="32">
                  <c:v>1.3618477184179767</c:v>
                </c:pt>
                <c:pt idx="33">
                  <c:v>1.1887574377693966</c:v>
                </c:pt>
                <c:pt idx="34">
                  <c:v>1.1297407513607425</c:v>
                </c:pt>
                <c:pt idx="35">
                  <c:v>0.66299274062617997</c:v>
                </c:pt>
                <c:pt idx="36">
                  <c:v>0.6152215898725899</c:v>
                </c:pt>
                <c:pt idx="37">
                  <c:v>0.87152371859988875</c:v>
                </c:pt>
                <c:pt idx="38">
                  <c:v>1.0225122955959307</c:v>
                </c:pt>
                <c:pt idx="39">
                  <c:v>1.0102952286202083</c:v>
                </c:pt>
                <c:pt idx="40">
                  <c:v>1.2883554157062633</c:v>
                </c:pt>
                <c:pt idx="41">
                  <c:v>1.6949455290562128</c:v>
                </c:pt>
                <c:pt idx="42">
                  <c:v>1.8290552129736568</c:v>
                </c:pt>
                <c:pt idx="43">
                  <c:v>1.9427986381172104</c:v>
                </c:pt>
                <c:pt idx="44">
                  <c:v>2.2371241291770616</c:v>
                </c:pt>
                <c:pt idx="45">
                  <c:v>2.5602894098744002</c:v>
                </c:pt>
                <c:pt idx="46">
                  <c:v>2.7348458046101882</c:v>
                </c:pt>
                <c:pt idx="47">
                  <c:v>2.4336025719432541</c:v>
                </c:pt>
                <c:pt idx="48">
                  <c:v>2.1546957364128332</c:v>
                </c:pt>
                <c:pt idx="49">
                  <c:v>1.9786325947703176</c:v>
                </c:pt>
                <c:pt idx="50">
                  <c:v>1.9768893060786752</c:v>
                </c:pt>
                <c:pt idx="51">
                  <c:v>1.9745332900828885</c:v>
                </c:pt>
                <c:pt idx="52">
                  <c:v>1.6653992799427897</c:v>
                </c:pt>
                <c:pt idx="53">
                  <c:v>1.0699763457311349</c:v>
                </c:pt>
                <c:pt idx="54">
                  <c:v>0.35196719390455655</c:v>
                </c:pt>
                <c:pt idx="55">
                  <c:v>-0.28638148281322628</c:v>
                </c:pt>
                <c:pt idx="56">
                  <c:v>-0.6683768109218704</c:v>
                </c:pt>
                <c:pt idx="57">
                  <c:v>-1.0182776883753775</c:v>
                </c:pt>
                <c:pt idx="58">
                  <c:v>-0.90109714862100532</c:v>
                </c:pt>
                <c:pt idx="59">
                  <c:v>-0.84050160153574893</c:v>
                </c:pt>
                <c:pt idx="60">
                  <c:v>-1.0012258697562686</c:v>
                </c:pt>
                <c:pt idx="61">
                  <c:v>-1.1157394603022226</c:v>
                </c:pt>
                <c:pt idx="62">
                  <c:v>-1.1217459547720807</c:v>
                </c:pt>
                <c:pt idx="63">
                  <c:v>-0.8663750207553278</c:v>
                </c:pt>
                <c:pt idx="64">
                  <c:v>-0.91329095540595517</c:v>
                </c:pt>
                <c:pt idx="65">
                  <c:v>-0.69872889901645863</c:v>
                </c:pt>
                <c:pt idx="66">
                  <c:v>-0.50192126054591313</c:v>
                </c:pt>
                <c:pt idx="67">
                  <c:v>-0.2845714439602034</c:v>
                </c:pt>
                <c:pt idx="68">
                  <c:v>-0.14933074499464283</c:v>
                </c:pt>
                <c:pt idx="69">
                  <c:v>6.6021150149282448E-2</c:v>
                </c:pt>
                <c:pt idx="70">
                  <c:v>0.47330800645690374</c:v>
                </c:pt>
                <c:pt idx="71">
                  <c:v>0.9617144265673403</c:v>
                </c:pt>
                <c:pt idx="72">
                  <c:v>1.3230389502827791</c:v>
                </c:pt>
                <c:pt idx="73">
                  <c:v>1.7825035890879235</c:v>
                </c:pt>
                <c:pt idx="74">
                  <c:v>2.3024544760253889</c:v>
                </c:pt>
                <c:pt idx="75">
                  <c:v>2.9276871711926731</c:v>
                </c:pt>
                <c:pt idx="76">
                  <c:v>3.4128958392445838</c:v>
                </c:pt>
                <c:pt idx="77">
                  <c:v>3.7565448431115556</c:v>
                </c:pt>
                <c:pt idx="78">
                  <c:v>3.967021471860761</c:v>
                </c:pt>
                <c:pt idx="79">
                  <c:v>4.3986254234806665</c:v>
                </c:pt>
                <c:pt idx="80">
                  <c:v>4.7680174035420464</c:v>
                </c:pt>
                <c:pt idx="81">
                  <c:v>4.900982431754926</c:v>
                </c:pt>
                <c:pt idx="82">
                  <c:v>5.0665706170299245</c:v>
                </c:pt>
                <c:pt idx="83">
                  <c:v>5.1521275072934714</c:v>
                </c:pt>
                <c:pt idx="84">
                  <c:v>5.3925823072743526</c:v>
                </c:pt>
                <c:pt idx="85">
                  <c:v>5.7141627652961517</c:v>
                </c:pt>
                <c:pt idx="86">
                  <c:v>5.4678322094409282</c:v>
                </c:pt>
                <c:pt idx="87">
                  <c:v>5.3513301248313496</c:v>
                </c:pt>
                <c:pt idx="88">
                  <c:v>5.5739985186576462</c:v>
                </c:pt>
                <c:pt idx="89">
                  <c:v>5.7471546845482635</c:v>
                </c:pt>
                <c:pt idx="90">
                  <c:v>6.0510559007355482</c:v>
                </c:pt>
                <c:pt idx="91">
                  <c:v>6.2856103475975544</c:v>
                </c:pt>
                <c:pt idx="92">
                  <c:v>6.1241289558501251</c:v>
                </c:pt>
                <c:pt idx="93">
                  <c:v>5.6573942021351797</c:v>
                </c:pt>
                <c:pt idx="94">
                  <c:v>5.0852527944994392</c:v>
                </c:pt>
                <c:pt idx="95">
                  <c:v>4.0549396939928215</c:v>
                </c:pt>
                <c:pt idx="96">
                  <c:v>3.1624158722968048</c:v>
                </c:pt>
                <c:pt idx="97">
                  <c:v>2.5579323553292852</c:v>
                </c:pt>
                <c:pt idx="98">
                  <c:v>1.8326198294393237</c:v>
                </c:pt>
                <c:pt idx="99">
                  <c:v>1.2825587925803461</c:v>
                </c:pt>
                <c:pt idx="100">
                  <c:v>0.37031656948479963</c:v>
                </c:pt>
                <c:pt idx="101">
                  <c:v>-0.54406484826228052</c:v>
                </c:pt>
                <c:pt idx="102">
                  <c:v>-1.3436051060610907</c:v>
                </c:pt>
                <c:pt idx="103">
                  <c:v>-1.5885599507062125</c:v>
                </c:pt>
                <c:pt idx="104">
                  <c:v>-2.5289825788389066</c:v>
                </c:pt>
                <c:pt idx="105">
                  <c:v>-3.0997526427167941</c:v>
                </c:pt>
                <c:pt idx="106">
                  <c:v>-4.097139414783868</c:v>
                </c:pt>
                <c:pt idx="107">
                  <c:v>-4.736947975066812</c:v>
                </c:pt>
                <c:pt idx="108">
                  <c:v>-5.1978014285641052</c:v>
                </c:pt>
                <c:pt idx="109">
                  <c:v>-5.569834174995691</c:v>
                </c:pt>
                <c:pt idx="110">
                  <c:v>-5.233052603966371</c:v>
                </c:pt>
                <c:pt idx="111">
                  <c:v>-4.2394710015477983</c:v>
                </c:pt>
                <c:pt idx="112">
                  <c:v>-3.3249615295497676</c:v>
                </c:pt>
                <c:pt idx="113">
                  <c:v>-2.7117707861946201</c:v>
                </c:pt>
                <c:pt idx="114">
                  <c:v>-2.3272849241791391</c:v>
                </c:pt>
                <c:pt idx="115">
                  <c:v>-2.6369067140624054</c:v>
                </c:pt>
                <c:pt idx="116">
                  <c:v>-2.4673294074004275</c:v>
                </c:pt>
                <c:pt idx="117">
                  <c:v>-2.3326767664840702</c:v>
                </c:pt>
                <c:pt idx="118">
                  <c:v>-2.1407674123019262</c:v>
                </c:pt>
                <c:pt idx="119">
                  <c:v>-2.4119407967768325</c:v>
                </c:pt>
                <c:pt idx="120">
                  <c:v>-2.5953166302340946</c:v>
                </c:pt>
                <c:pt idx="121">
                  <c:v>-2.312943660660892</c:v>
                </c:pt>
                <c:pt idx="122">
                  <c:v>-1.7263216057455679</c:v>
                </c:pt>
                <c:pt idx="123">
                  <c:v>-0.87530635923650379</c:v>
                </c:pt>
                <c:pt idx="124">
                  <c:v>4.6318763917184924E-2</c:v>
                </c:pt>
                <c:pt idx="125">
                  <c:v>0.75749150981917523</c:v>
                </c:pt>
                <c:pt idx="126">
                  <c:v>1.3379545841319214</c:v>
                </c:pt>
                <c:pt idx="127">
                  <c:v>1.8540671969509503</c:v>
                </c:pt>
                <c:pt idx="128">
                  <c:v>2.2149637773994471</c:v>
                </c:pt>
                <c:pt idx="129">
                  <c:v>2.596122479717792</c:v>
                </c:pt>
                <c:pt idx="130">
                  <c:v>2.8603793264946376</c:v>
                </c:pt>
                <c:pt idx="131">
                  <c:v>2.5019437582828346</c:v>
                </c:pt>
                <c:pt idx="132">
                  <c:v>1.9485034269683581</c:v>
                </c:pt>
                <c:pt idx="133">
                  <c:v>1.8548564046909917</c:v>
                </c:pt>
                <c:pt idx="134">
                  <c:v>1.4564166418846298</c:v>
                </c:pt>
                <c:pt idx="135">
                  <c:v>0.96013002838236616</c:v>
                </c:pt>
                <c:pt idx="136">
                  <c:v>0.54520313713834412</c:v>
                </c:pt>
                <c:pt idx="137">
                  <c:v>0.18119827206524519</c:v>
                </c:pt>
                <c:pt idx="138">
                  <c:v>0.19229191598731177</c:v>
                </c:pt>
                <c:pt idx="139">
                  <c:v>-0.72576624807359735</c:v>
                </c:pt>
                <c:pt idx="140">
                  <c:v>-1.966458356690282</c:v>
                </c:pt>
                <c:pt idx="141">
                  <c:v>-3.2240210246185939</c:v>
                </c:pt>
                <c:pt idx="142">
                  <c:v>-4.7548861231422563</c:v>
                </c:pt>
                <c:pt idx="143">
                  <c:v>-5.5961634952261363</c:v>
                </c:pt>
                <c:pt idx="144">
                  <c:v>-6.150826239790689</c:v>
                </c:pt>
                <c:pt idx="145">
                  <c:v>-6.6197976067311117</c:v>
                </c:pt>
                <c:pt idx="146">
                  <c:v>-6.7083672234880964</c:v>
                </c:pt>
                <c:pt idx="147">
                  <c:v>-6.7922509149815653</c:v>
                </c:pt>
                <c:pt idx="148">
                  <c:v>-6.4479176144139956</c:v>
                </c:pt>
                <c:pt idx="149">
                  <c:v>-5.9084209531213219</c:v>
                </c:pt>
                <c:pt idx="150">
                  <c:v>-5.1774942703065676</c:v>
                </c:pt>
                <c:pt idx="151">
                  <c:v>-4.7229221482117509</c:v>
                </c:pt>
                <c:pt idx="152">
                  <c:v>-4.1278821990125607</c:v>
                </c:pt>
                <c:pt idx="153">
                  <c:v>-4.0892852906768553</c:v>
                </c:pt>
                <c:pt idx="154">
                  <c:v>-3.6750081084687736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C-C94E-9690-BFDCE76D10C1}"/>
            </c:ext>
          </c:extLst>
        </c:ser>
        <c:ser>
          <c:idx val="1"/>
          <c:order val="1"/>
          <c:tx>
            <c:v>SIGNAL 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'Q3 MACD'!$A$35:$A$189</c:f>
              <c:numCache>
                <c:formatCode>m/d/yy</c:formatCode>
                <c:ptCount val="155"/>
                <c:pt idx="0">
                  <c:v>45520</c:v>
                </c:pt>
                <c:pt idx="1">
                  <c:v>45523</c:v>
                </c:pt>
                <c:pt idx="2">
                  <c:v>45524</c:v>
                </c:pt>
                <c:pt idx="3">
                  <c:v>45525</c:v>
                </c:pt>
                <c:pt idx="4">
                  <c:v>45526</c:v>
                </c:pt>
                <c:pt idx="5">
                  <c:v>45527</c:v>
                </c:pt>
                <c:pt idx="6">
                  <c:v>45530</c:v>
                </c:pt>
                <c:pt idx="7">
                  <c:v>45531</c:v>
                </c:pt>
                <c:pt idx="8">
                  <c:v>45532</c:v>
                </c:pt>
                <c:pt idx="9">
                  <c:v>45533</c:v>
                </c:pt>
                <c:pt idx="10">
                  <c:v>45534</c:v>
                </c:pt>
                <c:pt idx="11">
                  <c:v>45538</c:v>
                </c:pt>
                <c:pt idx="12">
                  <c:v>45539</c:v>
                </c:pt>
                <c:pt idx="13">
                  <c:v>45540</c:v>
                </c:pt>
                <c:pt idx="14">
                  <c:v>45541</c:v>
                </c:pt>
                <c:pt idx="15">
                  <c:v>45544</c:v>
                </c:pt>
                <c:pt idx="16">
                  <c:v>45545</c:v>
                </c:pt>
                <c:pt idx="17">
                  <c:v>45546</c:v>
                </c:pt>
                <c:pt idx="18">
                  <c:v>45547</c:v>
                </c:pt>
                <c:pt idx="19">
                  <c:v>45548</c:v>
                </c:pt>
                <c:pt idx="20">
                  <c:v>45551</c:v>
                </c:pt>
                <c:pt idx="21">
                  <c:v>45552</c:v>
                </c:pt>
                <c:pt idx="22">
                  <c:v>45553</c:v>
                </c:pt>
                <c:pt idx="23">
                  <c:v>45554</c:v>
                </c:pt>
                <c:pt idx="24">
                  <c:v>45555</c:v>
                </c:pt>
                <c:pt idx="25">
                  <c:v>45558</c:v>
                </c:pt>
                <c:pt idx="26">
                  <c:v>45559</c:v>
                </c:pt>
                <c:pt idx="27">
                  <c:v>45560</c:v>
                </c:pt>
                <c:pt idx="28">
                  <c:v>45561</c:v>
                </c:pt>
                <c:pt idx="29">
                  <c:v>45562</c:v>
                </c:pt>
                <c:pt idx="30">
                  <c:v>45565</c:v>
                </c:pt>
                <c:pt idx="31">
                  <c:v>45566</c:v>
                </c:pt>
                <c:pt idx="32">
                  <c:v>45567</c:v>
                </c:pt>
                <c:pt idx="33">
                  <c:v>45568</c:v>
                </c:pt>
                <c:pt idx="34">
                  <c:v>45569</c:v>
                </c:pt>
                <c:pt idx="35">
                  <c:v>45572</c:v>
                </c:pt>
                <c:pt idx="36">
                  <c:v>45573</c:v>
                </c:pt>
                <c:pt idx="37">
                  <c:v>45574</c:v>
                </c:pt>
                <c:pt idx="38">
                  <c:v>45575</c:v>
                </c:pt>
                <c:pt idx="39">
                  <c:v>45576</c:v>
                </c:pt>
                <c:pt idx="40">
                  <c:v>45579</c:v>
                </c:pt>
                <c:pt idx="41">
                  <c:v>45580</c:v>
                </c:pt>
                <c:pt idx="42">
                  <c:v>45581</c:v>
                </c:pt>
                <c:pt idx="43">
                  <c:v>45582</c:v>
                </c:pt>
                <c:pt idx="44">
                  <c:v>45583</c:v>
                </c:pt>
                <c:pt idx="45">
                  <c:v>45586</c:v>
                </c:pt>
                <c:pt idx="46">
                  <c:v>45587</c:v>
                </c:pt>
                <c:pt idx="47">
                  <c:v>45588</c:v>
                </c:pt>
                <c:pt idx="48">
                  <c:v>45589</c:v>
                </c:pt>
                <c:pt idx="49">
                  <c:v>45590</c:v>
                </c:pt>
                <c:pt idx="50">
                  <c:v>45593</c:v>
                </c:pt>
                <c:pt idx="51">
                  <c:v>45594</c:v>
                </c:pt>
                <c:pt idx="52">
                  <c:v>45595</c:v>
                </c:pt>
                <c:pt idx="53">
                  <c:v>45596</c:v>
                </c:pt>
                <c:pt idx="54">
                  <c:v>45597</c:v>
                </c:pt>
                <c:pt idx="55">
                  <c:v>45600</c:v>
                </c:pt>
                <c:pt idx="56">
                  <c:v>45601</c:v>
                </c:pt>
                <c:pt idx="57">
                  <c:v>45602</c:v>
                </c:pt>
                <c:pt idx="58">
                  <c:v>45603</c:v>
                </c:pt>
                <c:pt idx="59">
                  <c:v>45604</c:v>
                </c:pt>
                <c:pt idx="60">
                  <c:v>45607</c:v>
                </c:pt>
                <c:pt idx="61">
                  <c:v>45608</c:v>
                </c:pt>
                <c:pt idx="62">
                  <c:v>45609</c:v>
                </c:pt>
                <c:pt idx="63">
                  <c:v>45610</c:v>
                </c:pt>
                <c:pt idx="64">
                  <c:v>45611</c:v>
                </c:pt>
                <c:pt idx="65">
                  <c:v>45614</c:v>
                </c:pt>
                <c:pt idx="66">
                  <c:v>45615</c:v>
                </c:pt>
                <c:pt idx="67">
                  <c:v>45616</c:v>
                </c:pt>
                <c:pt idx="68">
                  <c:v>45617</c:v>
                </c:pt>
                <c:pt idx="69">
                  <c:v>45618</c:v>
                </c:pt>
                <c:pt idx="70">
                  <c:v>45621</c:v>
                </c:pt>
                <c:pt idx="71">
                  <c:v>45622</c:v>
                </c:pt>
                <c:pt idx="72">
                  <c:v>45623</c:v>
                </c:pt>
                <c:pt idx="73">
                  <c:v>45625</c:v>
                </c:pt>
                <c:pt idx="74">
                  <c:v>45628</c:v>
                </c:pt>
                <c:pt idx="75">
                  <c:v>45629</c:v>
                </c:pt>
                <c:pt idx="76">
                  <c:v>45630</c:v>
                </c:pt>
                <c:pt idx="77">
                  <c:v>45631</c:v>
                </c:pt>
                <c:pt idx="78">
                  <c:v>45632</c:v>
                </c:pt>
                <c:pt idx="79">
                  <c:v>45635</c:v>
                </c:pt>
                <c:pt idx="80">
                  <c:v>45636</c:v>
                </c:pt>
                <c:pt idx="81">
                  <c:v>45637</c:v>
                </c:pt>
                <c:pt idx="82">
                  <c:v>45638</c:v>
                </c:pt>
                <c:pt idx="83">
                  <c:v>45639</c:v>
                </c:pt>
                <c:pt idx="84">
                  <c:v>45642</c:v>
                </c:pt>
                <c:pt idx="85">
                  <c:v>45643</c:v>
                </c:pt>
                <c:pt idx="86">
                  <c:v>45644</c:v>
                </c:pt>
                <c:pt idx="87">
                  <c:v>45645</c:v>
                </c:pt>
                <c:pt idx="88">
                  <c:v>45646</c:v>
                </c:pt>
                <c:pt idx="89">
                  <c:v>45649</c:v>
                </c:pt>
                <c:pt idx="90">
                  <c:v>45650</c:v>
                </c:pt>
                <c:pt idx="91">
                  <c:v>45652</c:v>
                </c:pt>
                <c:pt idx="92">
                  <c:v>45653</c:v>
                </c:pt>
                <c:pt idx="93">
                  <c:v>45656</c:v>
                </c:pt>
                <c:pt idx="94">
                  <c:v>45657</c:v>
                </c:pt>
                <c:pt idx="95">
                  <c:v>45659</c:v>
                </c:pt>
                <c:pt idx="96">
                  <c:v>45660</c:v>
                </c:pt>
                <c:pt idx="97">
                  <c:v>45663</c:v>
                </c:pt>
                <c:pt idx="98">
                  <c:v>45664</c:v>
                </c:pt>
                <c:pt idx="99">
                  <c:v>45665</c:v>
                </c:pt>
                <c:pt idx="100">
                  <c:v>45667</c:v>
                </c:pt>
                <c:pt idx="101">
                  <c:v>45670</c:v>
                </c:pt>
                <c:pt idx="102">
                  <c:v>45671</c:v>
                </c:pt>
                <c:pt idx="103">
                  <c:v>45672</c:v>
                </c:pt>
                <c:pt idx="104">
                  <c:v>45673</c:v>
                </c:pt>
                <c:pt idx="105">
                  <c:v>45674</c:v>
                </c:pt>
                <c:pt idx="106">
                  <c:v>45678</c:v>
                </c:pt>
                <c:pt idx="107">
                  <c:v>45679</c:v>
                </c:pt>
                <c:pt idx="108">
                  <c:v>45680</c:v>
                </c:pt>
                <c:pt idx="109">
                  <c:v>45681</c:v>
                </c:pt>
                <c:pt idx="110">
                  <c:v>45684</c:v>
                </c:pt>
                <c:pt idx="111">
                  <c:v>45685</c:v>
                </c:pt>
                <c:pt idx="112">
                  <c:v>45686</c:v>
                </c:pt>
                <c:pt idx="113">
                  <c:v>45687</c:v>
                </c:pt>
                <c:pt idx="114">
                  <c:v>45688</c:v>
                </c:pt>
                <c:pt idx="115">
                  <c:v>45691</c:v>
                </c:pt>
                <c:pt idx="116">
                  <c:v>45692</c:v>
                </c:pt>
                <c:pt idx="117">
                  <c:v>45693</c:v>
                </c:pt>
                <c:pt idx="118">
                  <c:v>45694</c:v>
                </c:pt>
                <c:pt idx="119">
                  <c:v>45695</c:v>
                </c:pt>
                <c:pt idx="120">
                  <c:v>45698</c:v>
                </c:pt>
                <c:pt idx="121">
                  <c:v>45699</c:v>
                </c:pt>
                <c:pt idx="122">
                  <c:v>45700</c:v>
                </c:pt>
                <c:pt idx="123">
                  <c:v>45701</c:v>
                </c:pt>
                <c:pt idx="124">
                  <c:v>45702</c:v>
                </c:pt>
                <c:pt idx="125">
                  <c:v>45706</c:v>
                </c:pt>
                <c:pt idx="126">
                  <c:v>45707</c:v>
                </c:pt>
                <c:pt idx="127">
                  <c:v>45708</c:v>
                </c:pt>
                <c:pt idx="128">
                  <c:v>45709</c:v>
                </c:pt>
                <c:pt idx="129">
                  <c:v>45712</c:v>
                </c:pt>
                <c:pt idx="130">
                  <c:v>45713</c:v>
                </c:pt>
                <c:pt idx="131">
                  <c:v>45714</c:v>
                </c:pt>
                <c:pt idx="132">
                  <c:v>45715</c:v>
                </c:pt>
                <c:pt idx="133">
                  <c:v>45716</c:v>
                </c:pt>
                <c:pt idx="134">
                  <c:v>45719</c:v>
                </c:pt>
                <c:pt idx="135">
                  <c:v>45720</c:v>
                </c:pt>
                <c:pt idx="136">
                  <c:v>45721</c:v>
                </c:pt>
                <c:pt idx="137">
                  <c:v>45722</c:v>
                </c:pt>
                <c:pt idx="138">
                  <c:v>45723</c:v>
                </c:pt>
                <c:pt idx="139">
                  <c:v>45726</c:v>
                </c:pt>
                <c:pt idx="140">
                  <c:v>45727</c:v>
                </c:pt>
                <c:pt idx="141">
                  <c:v>45728</c:v>
                </c:pt>
                <c:pt idx="142">
                  <c:v>45729</c:v>
                </c:pt>
                <c:pt idx="143">
                  <c:v>45730</c:v>
                </c:pt>
                <c:pt idx="144">
                  <c:v>45733</c:v>
                </c:pt>
                <c:pt idx="145">
                  <c:v>45734</c:v>
                </c:pt>
                <c:pt idx="146">
                  <c:v>45735</c:v>
                </c:pt>
                <c:pt idx="147">
                  <c:v>45736</c:v>
                </c:pt>
                <c:pt idx="148">
                  <c:v>45737</c:v>
                </c:pt>
                <c:pt idx="149">
                  <c:v>45740</c:v>
                </c:pt>
                <c:pt idx="150">
                  <c:v>45741</c:v>
                </c:pt>
                <c:pt idx="151">
                  <c:v>45742</c:v>
                </c:pt>
                <c:pt idx="152">
                  <c:v>45743</c:v>
                </c:pt>
                <c:pt idx="153">
                  <c:v>45744</c:v>
                </c:pt>
                <c:pt idx="154">
                  <c:v>45747</c:v>
                </c:pt>
              </c:numCache>
            </c:numRef>
          </c:cat>
          <c:val>
            <c:numRef>
              <c:f>'Q3 MACD'!$F$35:$F$189</c:f>
              <c:numCache>
                <c:formatCode>General</c:formatCode>
                <c:ptCount val="155"/>
                <c:pt idx="0">
                  <c:v>-4.1820085456621019</c:v>
                </c:pt>
                <c:pt idx="1">
                  <c:v>-3.5477663985204586</c:v>
                </c:pt>
                <c:pt idx="2">
                  <c:v>-2.9338841434103076</c:v>
                </c:pt>
                <c:pt idx="3">
                  <c:v>-2.3600118667224512</c:v>
                </c:pt>
                <c:pt idx="4">
                  <c:v>-1.8657562158197316</c:v>
                </c:pt>
                <c:pt idx="5">
                  <c:v>-1.4062052847936133</c:v>
                </c:pt>
                <c:pt idx="6">
                  <c:v>-0.98386749130566409</c:v>
                </c:pt>
                <c:pt idx="7">
                  <c:v>-0.59119012991324482</c:v>
                </c:pt>
                <c:pt idx="8">
                  <c:v>-0.26091050757127132</c:v>
                </c:pt>
                <c:pt idx="9">
                  <c:v>6.6189857687700665E-2</c:v>
                </c:pt>
                <c:pt idx="10">
                  <c:v>0.36139553586640205</c:v>
                </c:pt>
                <c:pt idx="11">
                  <c:v>0.52091536770652325</c:v>
                </c:pt>
                <c:pt idx="12">
                  <c:v>0.55520789642837498</c:v>
                </c:pt>
                <c:pt idx="13">
                  <c:v>0.53235753189768265</c:v>
                </c:pt>
                <c:pt idx="14">
                  <c:v>0.4487867233963031</c:v>
                </c:pt>
                <c:pt idx="15">
                  <c:v>0.33195145855349334</c:v>
                </c:pt>
                <c:pt idx="16">
                  <c:v>0.18687125727521114</c:v>
                </c:pt>
                <c:pt idx="17">
                  <c:v>7.1950864207460261E-2</c:v>
                </c:pt>
                <c:pt idx="18">
                  <c:v>-1.6450633283658228E-2</c:v>
                </c:pt>
                <c:pt idx="19">
                  <c:v>-8.7866646195519829E-2</c:v>
                </c:pt>
                <c:pt idx="20">
                  <c:v>-0.24329076576842512</c:v>
                </c:pt>
                <c:pt idx="21">
                  <c:v>-0.43516886554838019</c:v>
                </c:pt>
                <c:pt idx="22">
                  <c:v>-0.57662298674474899</c:v>
                </c:pt>
                <c:pt idx="23">
                  <c:v>-0.54723571333200627</c:v>
                </c:pt>
                <c:pt idx="24">
                  <c:v>-0.42175109076292672</c:v>
                </c:pt>
                <c:pt idx="25">
                  <c:v>-0.26925250628007852</c:v>
                </c:pt>
                <c:pt idx="26">
                  <c:v>-9.2843666322667273E-2</c:v>
                </c:pt>
                <c:pt idx="27">
                  <c:v>7.3561209196695121E-2</c:v>
                </c:pt>
                <c:pt idx="28">
                  <c:v>0.24315249254145629</c:v>
                </c:pt>
                <c:pt idx="29">
                  <c:v>0.40960419786345703</c:v>
                </c:pt>
                <c:pt idx="30">
                  <c:v>0.64755133936430842</c:v>
                </c:pt>
                <c:pt idx="31">
                  <c:v>0.80803046799975053</c:v>
                </c:pt>
                <c:pt idx="32">
                  <c:v>0.91879391808339583</c:v>
                </c:pt>
                <c:pt idx="33">
                  <c:v>0.97278662202059607</c:v>
                </c:pt>
                <c:pt idx="34">
                  <c:v>1.0041774478886254</c:v>
                </c:pt>
                <c:pt idx="35">
                  <c:v>0.93594050643613635</c:v>
                </c:pt>
                <c:pt idx="36">
                  <c:v>0.87179672312342715</c:v>
                </c:pt>
                <c:pt idx="37">
                  <c:v>0.8717421222187195</c:v>
                </c:pt>
                <c:pt idx="38">
                  <c:v>0.9018961568941618</c:v>
                </c:pt>
                <c:pt idx="39">
                  <c:v>0.92357597123937119</c:v>
                </c:pt>
                <c:pt idx="40">
                  <c:v>0.99653186013274975</c:v>
                </c:pt>
                <c:pt idx="41">
                  <c:v>1.1362145939174424</c:v>
                </c:pt>
                <c:pt idx="42">
                  <c:v>1.2747827177286855</c:v>
                </c:pt>
                <c:pt idx="43">
                  <c:v>1.4083859018063905</c:v>
                </c:pt>
                <c:pt idx="44">
                  <c:v>1.5741335472805247</c:v>
                </c:pt>
                <c:pt idx="45">
                  <c:v>1.7713647197992999</c:v>
                </c:pt>
                <c:pt idx="46">
                  <c:v>1.9640609367614776</c:v>
                </c:pt>
                <c:pt idx="47">
                  <c:v>2.0579692637978333</c:v>
                </c:pt>
                <c:pt idx="48">
                  <c:v>2.0773145583208334</c:v>
                </c:pt>
                <c:pt idx="49">
                  <c:v>2.0575781656107304</c:v>
                </c:pt>
                <c:pt idx="50">
                  <c:v>2.0414403937043195</c:v>
                </c:pt>
                <c:pt idx="51">
                  <c:v>2.0280589729800336</c:v>
                </c:pt>
                <c:pt idx="52">
                  <c:v>1.9555270343725848</c:v>
                </c:pt>
                <c:pt idx="53">
                  <c:v>1.778416896644295</c:v>
                </c:pt>
                <c:pt idx="54">
                  <c:v>1.4931269560963474</c:v>
                </c:pt>
                <c:pt idx="55">
                  <c:v>1.1372252683144328</c:v>
                </c:pt>
                <c:pt idx="56">
                  <c:v>0.77610485246717231</c:v>
                </c:pt>
                <c:pt idx="57">
                  <c:v>0.4172283442986624</c:v>
                </c:pt>
                <c:pt idx="58">
                  <c:v>0.15356324571472885</c:v>
                </c:pt>
                <c:pt idx="59">
                  <c:v>-4.5249723735366718E-2</c:v>
                </c:pt>
                <c:pt idx="60">
                  <c:v>-0.23644495293954712</c:v>
                </c:pt>
                <c:pt idx="61">
                  <c:v>-0.41230385441208223</c:v>
                </c:pt>
                <c:pt idx="62">
                  <c:v>-0.55419227448408193</c:v>
                </c:pt>
                <c:pt idx="63">
                  <c:v>-0.61662882373833106</c:v>
                </c:pt>
                <c:pt idx="64">
                  <c:v>-0.67596125007185592</c:v>
                </c:pt>
                <c:pt idx="65">
                  <c:v>-0.68051477986077646</c:v>
                </c:pt>
                <c:pt idx="66">
                  <c:v>-0.64479607599780386</c:v>
                </c:pt>
                <c:pt idx="67">
                  <c:v>-0.57275114959028373</c:v>
                </c:pt>
                <c:pt idx="68">
                  <c:v>-0.48806706867115557</c:v>
                </c:pt>
                <c:pt idx="69">
                  <c:v>-0.37724942490706798</c:v>
                </c:pt>
                <c:pt idx="70">
                  <c:v>-0.20713793863427366</c:v>
                </c:pt>
                <c:pt idx="71">
                  <c:v>2.6632534406049152E-2</c:v>
                </c:pt>
                <c:pt idx="72">
                  <c:v>0.28591381758139517</c:v>
                </c:pt>
                <c:pt idx="73">
                  <c:v>0.58523177188270092</c:v>
                </c:pt>
                <c:pt idx="74">
                  <c:v>0.92867631271123852</c:v>
                </c:pt>
                <c:pt idx="75">
                  <c:v>1.3284784844075255</c:v>
                </c:pt>
                <c:pt idx="76">
                  <c:v>1.7453619553749373</c:v>
                </c:pt>
                <c:pt idx="77">
                  <c:v>2.1475985329222613</c:v>
                </c:pt>
                <c:pt idx="78">
                  <c:v>2.5114831207099613</c:v>
                </c:pt>
                <c:pt idx="79">
                  <c:v>2.8889115812641024</c:v>
                </c:pt>
                <c:pt idx="80">
                  <c:v>3.2647327457196913</c:v>
                </c:pt>
                <c:pt idx="81">
                  <c:v>3.5919826829267385</c:v>
                </c:pt>
                <c:pt idx="82">
                  <c:v>3.8869002697473762</c:v>
                </c:pt>
                <c:pt idx="83">
                  <c:v>4.1399457172565954</c:v>
                </c:pt>
                <c:pt idx="84">
                  <c:v>4.3904730352601469</c:v>
                </c:pt>
                <c:pt idx="85">
                  <c:v>4.6552109812673486</c:v>
                </c:pt>
                <c:pt idx="86">
                  <c:v>4.8177352269020641</c:v>
                </c:pt>
                <c:pt idx="87">
                  <c:v>4.9244542064879218</c:v>
                </c:pt>
                <c:pt idx="88">
                  <c:v>5.0543630689218668</c:v>
                </c:pt>
                <c:pt idx="89">
                  <c:v>5.192921392047146</c:v>
                </c:pt>
                <c:pt idx="90">
                  <c:v>5.3645482937848268</c:v>
                </c:pt>
                <c:pt idx="91">
                  <c:v>5.5487607045473721</c:v>
                </c:pt>
                <c:pt idx="92">
                  <c:v>5.6638343548079231</c:v>
                </c:pt>
                <c:pt idx="93">
                  <c:v>5.6625463242733742</c:v>
                </c:pt>
                <c:pt idx="94">
                  <c:v>5.5470876183185869</c:v>
                </c:pt>
                <c:pt idx="95">
                  <c:v>5.2486580334534336</c:v>
                </c:pt>
                <c:pt idx="96">
                  <c:v>4.8314096012221084</c:v>
                </c:pt>
                <c:pt idx="97">
                  <c:v>4.3767141520435437</c:v>
                </c:pt>
                <c:pt idx="98">
                  <c:v>3.8678952875226997</c:v>
                </c:pt>
                <c:pt idx="99">
                  <c:v>3.3508279885342294</c:v>
                </c:pt>
                <c:pt idx="100">
                  <c:v>2.7547257047243434</c:v>
                </c:pt>
                <c:pt idx="101">
                  <c:v>2.0949675941270187</c:v>
                </c:pt>
                <c:pt idx="102">
                  <c:v>1.4072530540893968</c:v>
                </c:pt>
                <c:pt idx="103">
                  <c:v>0.80809045313027494</c:v>
                </c:pt>
                <c:pt idx="104">
                  <c:v>0.14067584673643863</c:v>
                </c:pt>
                <c:pt idx="105">
                  <c:v>-0.507409851154208</c:v>
                </c:pt>
                <c:pt idx="106">
                  <c:v>-1.22535576388014</c:v>
                </c:pt>
                <c:pt idx="107">
                  <c:v>-1.9276742061174743</c:v>
                </c:pt>
                <c:pt idx="108">
                  <c:v>-2.5816996506068008</c:v>
                </c:pt>
                <c:pt idx="109">
                  <c:v>-3.1793265554845789</c:v>
                </c:pt>
                <c:pt idx="110">
                  <c:v>-3.5900717651809373</c:v>
                </c:pt>
                <c:pt idx="111">
                  <c:v>-3.7199516124543099</c:v>
                </c:pt>
                <c:pt idx="112">
                  <c:v>-3.6409535958734018</c:v>
                </c:pt>
                <c:pt idx="113">
                  <c:v>-3.4551170339376456</c:v>
                </c:pt>
                <c:pt idx="114">
                  <c:v>-3.2295506119859443</c:v>
                </c:pt>
                <c:pt idx="115">
                  <c:v>-3.1110218324012369</c:v>
                </c:pt>
                <c:pt idx="116">
                  <c:v>-2.9822833474010753</c:v>
                </c:pt>
                <c:pt idx="117">
                  <c:v>-2.8523620312176741</c:v>
                </c:pt>
                <c:pt idx="118">
                  <c:v>-2.7100431074345246</c:v>
                </c:pt>
                <c:pt idx="119">
                  <c:v>-2.6504226453029864</c:v>
                </c:pt>
                <c:pt idx="120">
                  <c:v>-2.6394014422892083</c:v>
                </c:pt>
                <c:pt idx="121">
                  <c:v>-2.5741098859635452</c:v>
                </c:pt>
                <c:pt idx="122">
                  <c:v>-2.40455222991995</c:v>
                </c:pt>
                <c:pt idx="123">
                  <c:v>-2.0987030557832607</c:v>
                </c:pt>
                <c:pt idx="124">
                  <c:v>-1.6696986918431718</c:v>
                </c:pt>
                <c:pt idx="125">
                  <c:v>-1.1842606515107024</c:v>
                </c:pt>
                <c:pt idx="126">
                  <c:v>-0.67981760438217753</c:v>
                </c:pt>
                <c:pt idx="127">
                  <c:v>-0.17304064411555198</c:v>
                </c:pt>
                <c:pt idx="128">
                  <c:v>0.30456024018744787</c:v>
                </c:pt>
                <c:pt idx="129">
                  <c:v>0.76287268809351683</c:v>
                </c:pt>
                <c:pt idx="130">
                  <c:v>1.182374015773741</c:v>
                </c:pt>
                <c:pt idx="131">
                  <c:v>1.4462879642755597</c:v>
                </c:pt>
                <c:pt idx="132">
                  <c:v>1.5467310568141195</c:v>
                </c:pt>
                <c:pt idx="133">
                  <c:v>1.6083561263894941</c:v>
                </c:pt>
                <c:pt idx="134">
                  <c:v>1.5779682294885213</c:v>
                </c:pt>
                <c:pt idx="135">
                  <c:v>1.4544005892672904</c:v>
                </c:pt>
                <c:pt idx="136">
                  <c:v>1.272561098841501</c:v>
                </c:pt>
                <c:pt idx="137">
                  <c:v>1.05428853348625</c:v>
                </c:pt>
                <c:pt idx="138">
                  <c:v>0.88188920998646236</c:v>
                </c:pt>
                <c:pt idx="139">
                  <c:v>0.56035811837445038</c:v>
                </c:pt>
                <c:pt idx="140">
                  <c:v>5.4994823361503908E-2</c:v>
                </c:pt>
                <c:pt idx="141">
                  <c:v>-0.60080834623451573</c:v>
                </c:pt>
                <c:pt idx="142">
                  <c:v>-1.4316239016160639</c:v>
                </c:pt>
                <c:pt idx="143">
                  <c:v>-2.2645318203380782</c:v>
                </c:pt>
                <c:pt idx="144">
                  <c:v>-3.0417907042286005</c:v>
                </c:pt>
                <c:pt idx="145">
                  <c:v>-3.7573920847291031</c:v>
                </c:pt>
                <c:pt idx="146">
                  <c:v>-4.3475871124809018</c:v>
                </c:pt>
                <c:pt idx="147">
                  <c:v>-4.8365198729810341</c:v>
                </c:pt>
                <c:pt idx="148">
                  <c:v>-5.1587994212676271</c:v>
                </c:pt>
                <c:pt idx="149">
                  <c:v>-5.3087237276383661</c:v>
                </c:pt>
                <c:pt idx="150">
                  <c:v>-5.2824778361720064</c:v>
                </c:pt>
                <c:pt idx="151">
                  <c:v>-5.1705666985799557</c:v>
                </c:pt>
                <c:pt idx="152">
                  <c:v>-4.9620297986664772</c:v>
                </c:pt>
                <c:pt idx="153">
                  <c:v>-4.7874808970685532</c:v>
                </c:pt>
                <c:pt idx="154">
                  <c:v>-4.5649863393485974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7C-C94E-9690-BFDCE76D1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4160"/>
        <c:axId val="245863472"/>
      </c:lineChart>
      <c:dateAx>
        <c:axId val="574416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863472"/>
        <c:crosses val="autoZero"/>
        <c:auto val="1"/>
        <c:lblOffset val="100"/>
        <c:baseTimeUnit val="days"/>
      </c:dateAx>
      <c:valAx>
        <c:axId val="24586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858278243294456"/>
          <c:y val="0.9022363113701698"/>
          <c:w val="0.21096277738010025"/>
          <c:h val="8.04476713138130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EMA</a:t>
            </a:r>
            <a:r>
              <a:rPr lang="en-GB" baseline="0"/>
              <a:t> CHART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AAPL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'Q3 MACD'!$A$13:$A$189</c:f>
              <c:numCache>
                <c:formatCode>m/d/yy</c:formatCode>
                <c:ptCount val="177"/>
                <c:pt idx="0">
                  <c:v>45490</c:v>
                </c:pt>
                <c:pt idx="1">
                  <c:v>45491</c:v>
                </c:pt>
                <c:pt idx="2">
                  <c:v>45492</c:v>
                </c:pt>
                <c:pt idx="3">
                  <c:v>45495</c:v>
                </c:pt>
                <c:pt idx="4">
                  <c:v>45496</c:v>
                </c:pt>
                <c:pt idx="5">
                  <c:v>45497</c:v>
                </c:pt>
                <c:pt idx="6">
                  <c:v>45498</c:v>
                </c:pt>
                <c:pt idx="7">
                  <c:v>45499</c:v>
                </c:pt>
                <c:pt idx="8">
                  <c:v>45502</c:v>
                </c:pt>
                <c:pt idx="9">
                  <c:v>45503</c:v>
                </c:pt>
                <c:pt idx="10">
                  <c:v>45504</c:v>
                </c:pt>
                <c:pt idx="11">
                  <c:v>45505</c:v>
                </c:pt>
                <c:pt idx="12">
                  <c:v>45506</c:v>
                </c:pt>
                <c:pt idx="13">
                  <c:v>45509</c:v>
                </c:pt>
                <c:pt idx="14">
                  <c:v>45510</c:v>
                </c:pt>
                <c:pt idx="15">
                  <c:v>45511</c:v>
                </c:pt>
                <c:pt idx="16">
                  <c:v>45512</c:v>
                </c:pt>
                <c:pt idx="17">
                  <c:v>45513</c:v>
                </c:pt>
                <c:pt idx="18">
                  <c:v>45516</c:v>
                </c:pt>
                <c:pt idx="19">
                  <c:v>45517</c:v>
                </c:pt>
                <c:pt idx="20">
                  <c:v>45518</c:v>
                </c:pt>
                <c:pt idx="21">
                  <c:v>45519</c:v>
                </c:pt>
                <c:pt idx="22">
                  <c:v>45520</c:v>
                </c:pt>
                <c:pt idx="23">
                  <c:v>45523</c:v>
                </c:pt>
                <c:pt idx="24">
                  <c:v>45524</c:v>
                </c:pt>
                <c:pt idx="25">
                  <c:v>45525</c:v>
                </c:pt>
                <c:pt idx="26">
                  <c:v>45526</c:v>
                </c:pt>
                <c:pt idx="27">
                  <c:v>45527</c:v>
                </c:pt>
                <c:pt idx="28">
                  <c:v>45530</c:v>
                </c:pt>
                <c:pt idx="29">
                  <c:v>45531</c:v>
                </c:pt>
                <c:pt idx="30">
                  <c:v>45532</c:v>
                </c:pt>
                <c:pt idx="31">
                  <c:v>45533</c:v>
                </c:pt>
                <c:pt idx="32">
                  <c:v>45534</c:v>
                </c:pt>
                <c:pt idx="33">
                  <c:v>45538</c:v>
                </c:pt>
                <c:pt idx="34">
                  <c:v>45539</c:v>
                </c:pt>
                <c:pt idx="35">
                  <c:v>45540</c:v>
                </c:pt>
                <c:pt idx="36">
                  <c:v>45541</c:v>
                </c:pt>
                <c:pt idx="37">
                  <c:v>45544</c:v>
                </c:pt>
                <c:pt idx="38">
                  <c:v>45545</c:v>
                </c:pt>
                <c:pt idx="39">
                  <c:v>45546</c:v>
                </c:pt>
                <c:pt idx="40">
                  <c:v>45547</c:v>
                </c:pt>
                <c:pt idx="41">
                  <c:v>45548</c:v>
                </c:pt>
                <c:pt idx="42">
                  <c:v>45551</c:v>
                </c:pt>
                <c:pt idx="43">
                  <c:v>45552</c:v>
                </c:pt>
                <c:pt idx="44">
                  <c:v>45553</c:v>
                </c:pt>
                <c:pt idx="45">
                  <c:v>45554</c:v>
                </c:pt>
                <c:pt idx="46">
                  <c:v>45555</c:v>
                </c:pt>
                <c:pt idx="47">
                  <c:v>45558</c:v>
                </c:pt>
                <c:pt idx="48">
                  <c:v>45559</c:v>
                </c:pt>
                <c:pt idx="49">
                  <c:v>45560</c:v>
                </c:pt>
                <c:pt idx="50">
                  <c:v>45561</c:v>
                </c:pt>
                <c:pt idx="51">
                  <c:v>45562</c:v>
                </c:pt>
                <c:pt idx="52">
                  <c:v>45565</c:v>
                </c:pt>
                <c:pt idx="53">
                  <c:v>45566</c:v>
                </c:pt>
                <c:pt idx="54">
                  <c:v>45567</c:v>
                </c:pt>
                <c:pt idx="55">
                  <c:v>45568</c:v>
                </c:pt>
                <c:pt idx="56">
                  <c:v>45569</c:v>
                </c:pt>
                <c:pt idx="57">
                  <c:v>45572</c:v>
                </c:pt>
                <c:pt idx="58">
                  <c:v>45573</c:v>
                </c:pt>
                <c:pt idx="59">
                  <c:v>45574</c:v>
                </c:pt>
                <c:pt idx="60">
                  <c:v>45575</c:v>
                </c:pt>
                <c:pt idx="61">
                  <c:v>45576</c:v>
                </c:pt>
                <c:pt idx="62">
                  <c:v>45579</c:v>
                </c:pt>
                <c:pt idx="63">
                  <c:v>45580</c:v>
                </c:pt>
                <c:pt idx="64">
                  <c:v>45581</c:v>
                </c:pt>
                <c:pt idx="65">
                  <c:v>45582</c:v>
                </c:pt>
                <c:pt idx="66">
                  <c:v>45583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45593</c:v>
                </c:pt>
                <c:pt idx="73">
                  <c:v>45594</c:v>
                </c:pt>
                <c:pt idx="74">
                  <c:v>45595</c:v>
                </c:pt>
                <c:pt idx="75">
                  <c:v>45596</c:v>
                </c:pt>
                <c:pt idx="76">
                  <c:v>45597</c:v>
                </c:pt>
                <c:pt idx="77">
                  <c:v>45600</c:v>
                </c:pt>
                <c:pt idx="78">
                  <c:v>45601</c:v>
                </c:pt>
                <c:pt idx="79">
                  <c:v>45602</c:v>
                </c:pt>
                <c:pt idx="80">
                  <c:v>45603</c:v>
                </c:pt>
                <c:pt idx="81">
                  <c:v>45604</c:v>
                </c:pt>
                <c:pt idx="82">
                  <c:v>45607</c:v>
                </c:pt>
                <c:pt idx="83">
                  <c:v>45608</c:v>
                </c:pt>
                <c:pt idx="84">
                  <c:v>45609</c:v>
                </c:pt>
                <c:pt idx="85">
                  <c:v>45610</c:v>
                </c:pt>
                <c:pt idx="86">
                  <c:v>45611</c:v>
                </c:pt>
                <c:pt idx="87">
                  <c:v>45614</c:v>
                </c:pt>
                <c:pt idx="88">
                  <c:v>45615</c:v>
                </c:pt>
                <c:pt idx="89">
                  <c:v>45616</c:v>
                </c:pt>
                <c:pt idx="90">
                  <c:v>45617</c:v>
                </c:pt>
                <c:pt idx="91">
                  <c:v>45618</c:v>
                </c:pt>
                <c:pt idx="92">
                  <c:v>45621</c:v>
                </c:pt>
                <c:pt idx="93">
                  <c:v>45622</c:v>
                </c:pt>
                <c:pt idx="94">
                  <c:v>45623</c:v>
                </c:pt>
                <c:pt idx="95">
                  <c:v>45625</c:v>
                </c:pt>
                <c:pt idx="96">
                  <c:v>45628</c:v>
                </c:pt>
                <c:pt idx="97">
                  <c:v>45629</c:v>
                </c:pt>
                <c:pt idx="98">
                  <c:v>45630</c:v>
                </c:pt>
                <c:pt idx="99">
                  <c:v>45631</c:v>
                </c:pt>
                <c:pt idx="100">
                  <c:v>45632</c:v>
                </c:pt>
                <c:pt idx="101">
                  <c:v>45635</c:v>
                </c:pt>
                <c:pt idx="102">
                  <c:v>45636</c:v>
                </c:pt>
                <c:pt idx="103">
                  <c:v>45637</c:v>
                </c:pt>
                <c:pt idx="104">
                  <c:v>45638</c:v>
                </c:pt>
                <c:pt idx="105">
                  <c:v>45639</c:v>
                </c:pt>
                <c:pt idx="106">
                  <c:v>45642</c:v>
                </c:pt>
                <c:pt idx="107">
                  <c:v>45643</c:v>
                </c:pt>
                <c:pt idx="108">
                  <c:v>45644</c:v>
                </c:pt>
                <c:pt idx="109">
                  <c:v>45645</c:v>
                </c:pt>
                <c:pt idx="110">
                  <c:v>45646</c:v>
                </c:pt>
                <c:pt idx="111">
                  <c:v>45649</c:v>
                </c:pt>
                <c:pt idx="112">
                  <c:v>45650</c:v>
                </c:pt>
                <c:pt idx="113">
                  <c:v>45652</c:v>
                </c:pt>
                <c:pt idx="114">
                  <c:v>45653</c:v>
                </c:pt>
                <c:pt idx="115">
                  <c:v>45656</c:v>
                </c:pt>
                <c:pt idx="116">
                  <c:v>45657</c:v>
                </c:pt>
                <c:pt idx="117">
                  <c:v>45659</c:v>
                </c:pt>
                <c:pt idx="118">
                  <c:v>45660</c:v>
                </c:pt>
                <c:pt idx="119">
                  <c:v>45663</c:v>
                </c:pt>
                <c:pt idx="120">
                  <c:v>45664</c:v>
                </c:pt>
                <c:pt idx="121">
                  <c:v>45665</c:v>
                </c:pt>
                <c:pt idx="122">
                  <c:v>45667</c:v>
                </c:pt>
                <c:pt idx="123">
                  <c:v>45670</c:v>
                </c:pt>
                <c:pt idx="124">
                  <c:v>45671</c:v>
                </c:pt>
                <c:pt idx="125">
                  <c:v>45672</c:v>
                </c:pt>
                <c:pt idx="126">
                  <c:v>45673</c:v>
                </c:pt>
                <c:pt idx="127">
                  <c:v>45674</c:v>
                </c:pt>
                <c:pt idx="128">
                  <c:v>45678</c:v>
                </c:pt>
                <c:pt idx="129">
                  <c:v>45679</c:v>
                </c:pt>
                <c:pt idx="130">
                  <c:v>45680</c:v>
                </c:pt>
                <c:pt idx="131">
                  <c:v>45681</c:v>
                </c:pt>
                <c:pt idx="132">
                  <c:v>45684</c:v>
                </c:pt>
                <c:pt idx="133">
                  <c:v>45685</c:v>
                </c:pt>
                <c:pt idx="134">
                  <c:v>45686</c:v>
                </c:pt>
                <c:pt idx="135">
                  <c:v>45687</c:v>
                </c:pt>
                <c:pt idx="136">
                  <c:v>45688</c:v>
                </c:pt>
                <c:pt idx="137">
                  <c:v>45691</c:v>
                </c:pt>
                <c:pt idx="138">
                  <c:v>45692</c:v>
                </c:pt>
                <c:pt idx="139">
                  <c:v>45693</c:v>
                </c:pt>
                <c:pt idx="140">
                  <c:v>45694</c:v>
                </c:pt>
                <c:pt idx="141">
                  <c:v>45695</c:v>
                </c:pt>
                <c:pt idx="142">
                  <c:v>45698</c:v>
                </c:pt>
                <c:pt idx="143">
                  <c:v>45699</c:v>
                </c:pt>
                <c:pt idx="144">
                  <c:v>45700</c:v>
                </c:pt>
                <c:pt idx="145">
                  <c:v>45701</c:v>
                </c:pt>
                <c:pt idx="146">
                  <c:v>45702</c:v>
                </c:pt>
                <c:pt idx="147">
                  <c:v>45706</c:v>
                </c:pt>
                <c:pt idx="148">
                  <c:v>45707</c:v>
                </c:pt>
                <c:pt idx="149">
                  <c:v>45708</c:v>
                </c:pt>
                <c:pt idx="150">
                  <c:v>45709</c:v>
                </c:pt>
                <c:pt idx="151">
                  <c:v>45712</c:v>
                </c:pt>
                <c:pt idx="152">
                  <c:v>45713</c:v>
                </c:pt>
                <c:pt idx="153">
                  <c:v>45714</c:v>
                </c:pt>
                <c:pt idx="154">
                  <c:v>45715</c:v>
                </c:pt>
                <c:pt idx="155">
                  <c:v>45716</c:v>
                </c:pt>
                <c:pt idx="156">
                  <c:v>45719</c:v>
                </c:pt>
                <c:pt idx="157">
                  <c:v>45720</c:v>
                </c:pt>
                <c:pt idx="158">
                  <c:v>45721</c:v>
                </c:pt>
                <c:pt idx="159">
                  <c:v>45722</c:v>
                </c:pt>
                <c:pt idx="160">
                  <c:v>45723</c:v>
                </c:pt>
                <c:pt idx="161">
                  <c:v>45726</c:v>
                </c:pt>
                <c:pt idx="162">
                  <c:v>45727</c:v>
                </c:pt>
                <c:pt idx="163">
                  <c:v>45728</c:v>
                </c:pt>
                <c:pt idx="164">
                  <c:v>45729</c:v>
                </c:pt>
                <c:pt idx="165">
                  <c:v>45730</c:v>
                </c:pt>
                <c:pt idx="166">
                  <c:v>45733</c:v>
                </c:pt>
                <c:pt idx="167">
                  <c:v>45734</c:v>
                </c:pt>
                <c:pt idx="168">
                  <c:v>45735</c:v>
                </c:pt>
                <c:pt idx="169">
                  <c:v>45736</c:v>
                </c:pt>
                <c:pt idx="170">
                  <c:v>45737</c:v>
                </c:pt>
                <c:pt idx="171">
                  <c:v>45740</c:v>
                </c:pt>
                <c:pt idx="172">
                  <c:v>45741</c:v>
                </c:pt>
                <c:pt idx="173">
                  <c:v>45742</c:v>
                </c:pt>
                <c:pt idx="174">
                  <c:v>45743</c:v>
                </c:pt>
                <c:pt idx="175">
                  <c:v>45744</c:v>
                </c:pt>
                <c:pt idx="176">
                  <c:v>45747</c:v>
                </c:pt>
              </c:numCache>
            </c:numRef>
          </c:cat>
          <c:val>
            <c:numRef>
              <c:f>'Q3 MACD'!$B$13:$B$189</c:f>
              <c:numCache>
                <c:formatCode>General</c:formatCode>
                <c:ptCount val="177"/>
                <c:pt idx="0">
                  <c:v>228.88</c:v>
                </c:pt>
                <c:pt idx="1">
                  <c:v>224.18</c:v>
                </c:pt>
                <c:pt idx="2">
                  <c:v>224.31</c:v>
                </c:pt>
                <c:pt idx="3">
                  <c:v>223.96</c:v>
                </c:pt>
                <c:pt idx="4">
                  <c:v>225.01</c:v>
                </c:pt>
                <c:pt idx="5">
                  <c:v>218.54</c:v>
                </c:pt>
                <c:pt idx="6">
                  <c:v>217.49</c:v>
                </c:pt>
                <c:pt idx="7">
                  <c:v>217.96</c:v>
                </c:pt>
                <c:pt idx="8">
                  <c:v>218.24</c:v>
                </c:pt>
                <c:pt idx="9">
                  <c:v>218.8</c:v>
                </c:pt>
                <c:pt idx="10">
                  <c:v>222.08</c:v>
                </c:pt>
                <c:pt idx="11">
                  <c:v>218.36</c:v>
                </c:pt>
                <c:pt idx="12">
                  <c:v>219.86</c:v>
                </c:pt>
                <c:pt idx="13">
                  <c:v>209.27</c:v>
                </c:pt>
                <c:pt idx="14">
                  <c:v>207.23</c:v>
                </c:pt>
                <c:pt idx="15">
                  <c:v>209.82</c:v>
                </c:pt>
                <c:pt idx="16">
                  <c:v>213.31</c:v>
                </c:pt>
                <c:pt idx="17">
                  <c:v>216.24</c:v>
                </c:pt>
                <c:pt idx="18">
                  <c:v>217.53</c:v>
                </c:pt>
                <c:pt idx="19">
                  <c:v>221.27</c:v>
                </c:pt>
                <c:pt idx="20">
                  <c:v>221.72</c:v>
                </c:pt>
                <c:pt idx="21">
                  <c:v>224.72</c:v>
                </c:pt>
                <c:pt idx="22">
                  <c:v>226.05</c:v>
                </c:pt>
                <c:pt idx="23">
                  <c:v>225.89</c:v>
                </c:pt>
                <c:pt idx="24">
                  <c:v>226.51</c:v>
                </c:pt>
                <c:pt idx="25">
                  <c:v>226.4</c:v>
                </c:pt>
                <c:pt idx="26">
                  <c:v>224.53</c:v>
                </c:pt>
                <c:pt idx="27">
                  <c:v>226.84</c:v>
                </c:pt>
                <c:pt idx="28">
                  <c:v>227.18</c:v>
                </c:pt>
                <c:pt idx="29">
                  <c:v>228.03</c:v>
                </c:pt>
                <c:pt idx="30">
                  <c:v>226.49</c:v>
                </c:pt>
                <c:pt idx="31">
                  <c:v>229.79</c:v>
                </c:pt>
                <c:pt idx="32">
                  <c:v>229</c:v>
                </c:pt>
                <c:pt idx="33">
                  <c:v>222.77</c:v>
                </c:pt>
                <c:pt idx="34">
                  <c:v>220.85</c:v>
                </c:pt>
                <c:pt idx="35">
                  <c:v>222.38</c:v>
                </c:pt>
                <c:pt idx="36">
                  <c:v>220.82</c:v>
                </c:pt>
                <c:pt idx="37">
                  <c:v>220.91</c:v>
                </c:pt>
                <c:pt idx="38">
                  <c:v>220.11</c:v>
                </c:pt>
                <c:pt idx="39">
                  <c:v>222.66</c:v>
                </c:pt>
                <c:pt idx="40">
                  <c:v>222.77</c:v>
                </c:pt>
                <c:pt idx="41">
                  <c:v>222.5</c:v>
                </c:pt>
                <c:pt idx="42">
                  <c:v>216.32</c:v>
                </c:pt>
                <c:pt idx="43">
                  <c:v>216.79</c:v>
                </c:pt>
                <c:pt idx="44">
                  <c:v>220.69</c:v>
                </c:pt>
                <c:pt idx="45">
                  <c:v>228.87</c:v>
                </c:pt>
                <c:pt idx="46">
                  <c:v>228.2</c:v>
                </c:pt>
                <c:pt idx="47">
                  <c:v>226.47</c:v>
                </c:pt>
                <c:pt idx="48">
                  <c:v>227.37</c:v>
                </c:pt>
                <c:pt idx="49">
                  <c:v>226.37</c:v>
                </c:pt>
                <c:pt idx="50">
                  <c:v>227.52</c:v>
                </c:pt>
                <c:pt idx="51">
                  <c:v>227.79</c:v>
                </c:pt>
                <c:pt idx="52">
                  <c:v>233</c:v>
                </c:pt>
                <c:pt idx="53">
                  <c:v>226.21</c:v>
                </c:pt>
                <c:pt idx="54">
                  <c:v>226.78</c:v>
                </c:pt>
                <c:pt idx="55">
                  <c:v>225.67</c:v>
                </c:pt>
                <c:pt idx="56">
                  <c:v>226.8</c:v>
                </c:pt>
                <c:pt idx="57">
                  <c:v>221.69</c:v>
                </c:pt>
                <c:pt idx="58">
                  <c:v>225.77</c:v>
                </c:pt>
                <c:pt idx="59">
                  <c:v>229.54</c:v>
                </c:pt>
                <c:pt idx="60">
                  <c:v>229.04</c:v>
                </c:pt>
                <c:pt idx="61">
                  <c:v>227.55</c:v>
                </c:pt>
                <c:pt idx="62">
                  <c:v>231.3</c:v>
                </c:pt>
                <c:pt idx="63">
                  <c:v>233.85</c:v>
                </c:pt>
                <c:pt idx="64">
                  <c:v>231.78</c:v>
                </c:pt>
                <c:pt idx="65">
                  <c:v>232.15</c:v>
                </c:pt>
                <c:pt idx="66">
                  <c:v>235</c:v>
                </c:pt>
                <c:pt idx="67">
                  <c:v>236.48</c:v>
                </c:pt>
                <c:pt idx="68">
                  <c:v>235.86</c:v>
                </c:pt>
                <c:pt idx="69">
                  <c:v>230.76</c:v>
                </c:pt>
                <c:pt idx="70">
                  <c:v>230.57</c:v>
                </c:pt>
                <c:pt idx="71">
                  <c:v>231.41</c:v>
                </c:pt>
                <c:pt idx="72">
                  <c:v>233.4</c:v>
                </c:pt>
                <c:pt idx="73">
                  <c:v>233.67</c:v>
                </c:pt>
                <c:pt idx="74">
                  <c:v>230.1</c:v>
                </c:pt>
                <c:pt idx="75">
                  <c:v>225.91</c:v>
                </c:pt>
                <c:pt idx="76">
                  <c:v>222.91</c:v>
                </c:pt>
                <c:pt idx="77">
                  <c:v>222.01</c:v>
                </c:pt>
                <c:pt idx="78">
                  <c:v>223.45</c:v>
                </c:pt>
                <c:pt idx="79">
                  <c:v>222.72</c:v>
                </c:pt>
                <c:pt idx="80">
                  <c:v>227.48</c:v>
                </c:pt>
                <c:pt idx="81">
                  <c:v>226.96</c:v>
                </c:pt>
                <c:pt idx="82">
                  <c:v>224.23</c:v>
                </c:pt>
                <c:pt idx="83">
                  <c:v>224.23</c:v>
                </c:pt>
                <c:pt idx="84">
                  <c:v>225.12</c:v>
                </c:pt>
                <c:pt idx="85">
                  <c:v>228.22</c:v>
                </c:pt>
                <c:pt idx="86">
                  <c:v>225</c:v>
                </c:pt>
                <c:pt idx="87">
                  <c:v>228.02</c:v>
                </c:pt>
                <c:pt idx="88">
                  <c:v>228.28</c:v>
                </c:pt>
                <c:pt idx="89">
                  <c:v>229</c:v>
                </c:pt>
                <c:pt idx="90">
                  <c:v>228.52</c:v>
                </c:pt>
                <c:pt idx="91">
                  <c:v>229.87</c:v>
                </c:pt>
                <c:pt idx="92">
                  <c:v>232.87</c:v>
                </c:pt>
                <c:pt idx="93">
                  <c:v>235.06</c:v>
                </c:pt>
                <c:pt idx="94">
                  <c:v>234.93</c:v>
                </c:pt>
                <c:pt idx="95">
                  <c:v>237.33</c:v>
                </c:pt>
                <c:pt idx="96">
                  <c:v>239.59</c:v>
                </c:pt>
                <c:pt idx="97">
                  <c:v>242.65</c:v>
                </c:pt>
                <c:pt idx="98">
                  <c:v>243.01</c:v>
                </c:pt>
                <c:pt idx="99">
                  <c:v>243.04</c:v>
                </c:pt>
                <c:pt idx="100">
                  <c:v>242.84</c:v>
                </c:pt>
                <c:pt idx="101">
                  <c:v>246.75</c:v>
                </c:pt>
                <c:pt idx="102">
                  <c:v>247.77</c:v>
                </c:pt>
                <c:pt idx="103">
                  <c:v>246.49</c:v>
                </c:pt>
                <c:pt idx="104">
                  <c:v>247.96</c:v>
                </c:pt>
                <c:pt idx="105">
                  <c:v>248.13</c:v>
                </c:pt>
                <c:pt idx="106">
                  <c:v>251.04</c:v>
                </c:pt>
                <c:pt idx="107">
                  <c:v>253.48</c:v>
                </c:pt>
                <c:pt idx="108">
                  <c:v>248.05</c:v>
                </c:pt>
                <c:pt idx="109">
                  <c:v>249.79</c:v>
                </c:pt>
                <c:pt idx="110">
                  <c:v>254.49</c:v>
                </c:pt>
                <c:pt idx="111">
                  <c:v>255.27</c:v>
                </c:pt>
                <c:pt idx="112">
                  <c:v>258.2</c:v>
                </c:pt>
                <c:pt idx="113">
                  <c:v>259.02</c:v>
                </c:pt>
                <c:pt idx="114">
                  <c:v>255.59</c:v>
                </c:pt>
                <c:pt idx="115">
                  <c:v>252.2</c:v>
                </c:pt>
                <c:pt idx="116">
                  <c:v>250.42</c:v>
                </c:pt>
                <c:pt idx="117">
                  <c:v>243.85</c:v>
                </c:pt>
                <c:pt idx="118">
                  <c:v>243.36</c:v>
                </c:pt>
                <c:pt idx="119">
                  <c:v>245</c:v>
                </c:pt>
                <c:pt idx="120">
                  <c:v>242.21</c:v>
                </c:pt>
                <c:pt idx="121">
                  <c:v>242.7</c:v>
                </c:pt>
                <c:pt idx="122">
                  <c:v>236.85</c:v>
                </c:pt>
                <c:pt idx="123">
                  <c:v>234.4</c:v>
                </c:pt>
                <c:pt idx="124">
                  <c:v>233.28</c:v>
                </c:pt>
                <c:pt idx="125">
                  <c:v>237.87</c:v>
                </c:pt>
                <c:pt idx="126">
                  <c:v>228.26</c:v>
                </c:pt>
                <c:pt idx="127">
                  <c:v>229.98</c:v>
                </c:pt>
                <c:pt idx="128">
                  <c:v>222.64</c:v>
                </c:pt>
                <c:pt idx="129">
                  <c:v>223.83</c:v>
                </c:pt>
                <c:pt idx="130">
                  <c:v>223.66</c:v>
                </c:pt>
                <c:pt idx="131">
                  <c:v>222.78</c:v>
                </c:pt>
                <c:pt idx="132">
                  <c:v>229.86</c:v>
                </c:pt>
                <c:pt idx="133">
                  <c:v>238.26</c:v>
                </c:pt>
                <c:pt idx="134">
                  <c:v>239.36</c:v>
                </c:pt>
                <c:pt idx="135">
                  <c:v>237.59</c:v>
                </c:pt>
                <c:pt idx="136">
                  <c:v>236</c:v>
                </c:pt>
                <c:pt idx="137">
                  <c:v>228.01</c:v>
                </c:pt>
                <c:pt idx="138">
                  <c:v>232.8</c:v>
                </c:pt>
                <c:pt idx="139">
                  <c:v>232.47</c:v>
                </c:pt>
                <c:pt idx="140">
                  <c:v>233.22</c:v>
                </c:pt>
                <c:pt idx="141">
                  <c:v>227.63</c:v>
                </c:pt>
                <c:pt idx="142">
                  <c:v>227.65</c:v>
                </c:pt>
                <c:pt idx="143">
                  <c:v>232.62</c:v>
                </c:pt>
                <c:pt idx="144">
                  <c:v>236.87</c:v>
                </c:pt>
                <c:pt idx="145">
                  <c:v>241.53</c:v>
                </c:pt>
                <c:pt idx="146">
                  <c:v>244.6</c:v>
                </c:pt>
                <c:pt idx="147">
                  <c:v>244.47</c:v>
                </c:pt>
                <c:pt idx="148">
                  <c:v>244.87</c:v>
                </c:pt>
                <c:pt idx="149">
                  <c:v>245.83</c:v>
                </c:pt>
                <c:pt idx="150">
                  <c:v>245.55</c:v>
                </c:pt>
                <c:pt idx="151">
                  <c:v>247.1</c:v>
                </c:pt>
                <c:pt idx="152">
                  <c:v>247.04</c:v>
                </c:pt>
                <c:pt idx="153">
                  <c:v>240.36</c:v>
                </c:pt>
                <c:pt idx="154">
                  <c:v>237.3</c:v>
                </c:pt>
                <c:pt idx="155">
                  <c:v>241.84</c:v>
                </c:pt>
                <c:pt idx="156">
                  <c:v>238.03</c:v>
                </c:pt>
                <c:pt idx="157">
                  <c:v>235.93</c:v>
                </c:pt>
                <c:pt idx="158">
                  <c:v>235.74</c:v>
                </c:pt>
                <c:pt idx="159">
                  <c:v>235.33</c:v>
                </c:pt>
                <c:pt idx="160">
                  <c:v>239.07</c:v>
                </c:pt>
                <c:pt idx="161">
                  <c:v>227.48</c:v>
                </c:pt>
                <c:pt idx="162">
                  <c:v>220.84</c:v>
                </c:pt>
                <c:pt idx="163">
                  <c:v>216.98</c:v>
                </c:pt>
                <c:pt idx="164">
                  <c:v>209.68</c:v>
                </c:pt>
                <c:pt idx="165">
                  <c:v>213.49</c:v>
                </c:pt>
                <c:pt idx="166">
                  <c:v>214</c:v>
                </c:pt>
                <c:pt idx="167">
                  <c:v>212.69</c:v>
                </c:pt>
                <c:pt idx="168">
                  <c:v>215.24</c:v>
                </c:pt>
                <c:pt idx="169">
                  <c:v>214.1</c:v>
                </c:pt>
                <c:pt idx="170">
                  <c:v>218.27</c:v>
                </c:pt>
                <c:pt idx="171">
                  <c:v>220.73</c:v>
                </c:pt>
                <c:pt idx="172">
                  <c:v>223.75</c:v>
                </c:pt>
                <c:pt idx="173">
                  <c:v>221.53</c:v>
                </c:pt>
                <c:pt idx="174">
                  <c:v>223.85</c:v>
                </c:pt>
                <c:pt idx="175">
                  <c:v>217.9</c:v>
                </c:pt>
                <c:pt idx="176">
                  <c:v>222.13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8-1844-9DF9-E24DF2892922}"/>
            </c:ext>
          </c:extLst>
        </c:ser>
        <c:ser>
          <c:idx val="1"/>
          <c:order val="1"/>
          <c:tx>
            <c:v>12 day ema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'Q3 MACD'!$A$13:$A$189</c:f>
              <c:numCache>
                <c:formatCode>m/d/yy</c:formatCode>
                <c:ptCount val="177"/>
                <c:pt idx="0">
                  <c:v>45490</c:v>
                </c:pt>
                <c:pt idx="1">
                  <c:v>45491</c:v>
                </c:pt>
                <c:pt idx="2">
                  <c:v>45492</c:v>
                </c:pt>
                <c:pt idx="3">
                  <c:v>45495</c:v>
                </c:pt>
                <c:pt idx="4">
                  <c:v>45496</c:v>
                </c:pt>
                <c:pt idx="5">
                  <c:v>45497</c:v>
                </c:pt>
                <c:pt idx="6">
                  <c:v>45498</c:v>
                </c:pt>
                <c:pt idx="7">
                  <c:v>45499</c:v>
                </c:pt>
                <c:pt idx="8">
                  <c:v>45502</c:v>
                </c:pt>
                <c:pt idx="9">
                  <c:v>45503</c:v>
                </c:pt>
                <c:pt idx="10">
                  <c:v>45504</c:v>
                </c:pt>
                <c:pt idx="11">
                  <c:v>45505</c:v>
                </c:pt>
                <c:pt idx="12">
                  <c:v>45506</c:v>
                </c:pt>
                <c:pt idx="13">
                  <c:v>45509</c:v>
                </c:pt>
                <c:pt idx="14">
                  <c:v>45510</c:v>
                </c:pt>
                <c:pt idx="15">
                  <c:v>45511</c:v>
                </c:pt>
                <c:pt idx="16">
                  <c:v>45512</c:v>
                </c:pt>
                <c:pt idx="17">
                  <c:v>45513</c:v>
                </c:pt>
                <c:pt idx="18">
                  <c:v>45516</c:v>
                </c:pt>
                <c:pt idx="19">
                  <c:v>45517</c:v>
                </c:pt>
                <c:pt idx="20">
                  <c:v>45518</c:v>
                </c:pt>
                <c:pt idx="21">
                  <c:v>45519</c:v>
                </c:pt>
                <c:pt idx="22">
                  <c:v>45520</c:v>
                </c:pt>
                <c:pt idx="23">
                  <c:v>45523</c:v>
                </c:pt>
                <c:pt idx="24">
                  <c:v>45524</c:v>
                </c:pt>
                <c:pt idx="25">
                  <c:v>45525</c:v>
                </c:pt>
                <c:pt idx="26">
                  <c:v>45526</c:v>
                </c:pt>
                <c:pt idx="27">
                  <c:v>45527</c:v>
                </c:pt>
                <c:pt idx="28">
                  <c:v>45530</c:v>
                </c:pt>
                <c:pt idx="29">
                  <c:v>45531</c:v>
                </c:pt>
                <c:pt idx="30">
                  <c:v>45532</c:v>
                </c:pt>
                <c:pt idx="31">
                  <c:v>45533</c:v>
                </c:pt>
                <c:pt idx="32">
                  <c:v>45534</c:v>
                </c:pt>
                <c:pt idx="33">
                  <c:v>45538</c:v>
                </c:pt>
                <c:pt idx="34">
                  <c:v>45539</c:v>
                </c:pt>
                <c:pt idx="35">
                  <c:v>45540</c:v>
                </c:pt>
                <c:pt idx="36">
                  <c:v>45541</c:v>
                </c:pt>
                <c:pt idx="37">
                  <c:v>45544</c:v>
                </c:pt>
                <c:pt idx="38">
                  <c:v>45545</c:v>
                </c:pt>
                <c:pt idx="39">
                  <c:v>45546</c:v>
                </c:pt>
                <c:pt idx="40">
                  <c:v>45547</c:v>
                </c:pt>
                <c:pt idx="41">
                  <c:v>45548</c:v>
                </c:pt>
                <c:pt idx="42">
                  <c:v>45551</c:v>
                </c:pt>
                <c:pt idx="43">
                  <c:v>45552</c:v>
                </c:pt>
                <c:pt idx="44">
                  <c:v>45553</c:v>
                </c:pt>
                <c:pt idx="45">
                  <c:v>45554</c:v>
                </c:pt>
                <c:pt idx="46">
                  <c:v>45555</c:v>
                </c:pt>
                <c:pt idx="47">
                  <c:v>45558</c:v>
                </c:pt>
                <c:pt idx="48">
                  <c:v>45559</c:v>
                </c:pt>
                <c:pt idx="49">
                  <c:v>45560</c:v>
                </c:pt>
                <c:pt idx="50">
                  <c:v>45561</c:v>
                </c:pt>
                <c:pt idx="51">
                  <c:v>45562</c:v>
                </c:pt>
                <c:pt idx="52">
                  <c:v>45565</c:v>
                </c:pt>
                <c:pt idx="53">
                  <c:v>45566</c:v>
                </c:pt>
                <c:pt idx="54">
                  <c:v>45567</c:v>
                </c:pt>
                <c:pt idx="55">
                  <c:v>45568</c:v>
                </c:pt>
                <c:pt idx="56">
                  <c:v>45569</c:v>
                </c:pt>
                <c:pt idx="57">
                  <c:v>45572</c:v>
                </c:pt>
                <c:pt idx="58">
                  <c:v>45573</c:v>
                </c:pt>
                <c:pt idx="59">
                  <c:v>45574</c:v>
                </c:pt>
                <c:pt idx="60">
                  <c:v>45575</c:v>
                </c:pt>
                <c:pt idx="61">
                  <c:v>45576</c:v>
                </c:pt>
                <c:pt idx="62">
                  <c:v>45579</c:v>
                </c:pt>
                <c:pt idx="63">
                  <c:v>45580</c:v>
                </c:pt>
                <c:pt idx="64">
                  <c:v>45581</c:v>
                </c:pt>
                <c:pt idx="65">
                  <c:v>45582</c:v>
                </c:pt>
                <c:pt idx="66">
                  <c:v>45583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45593</c:v>
                </c:pt>
                <c:pt idx="73">
                  <c:v>45594</c:v>
                </c:pt>
                <c:pt idx="74">
                  <c:v>45595</c:v>
                </c:pt>
                <c:pt idx="75">
                  <c:v>45596</c:v>
                </c:pt>
                <c:pt idx="76">
                  <c:v>45597</c:v>
                </c:pt>
                <c:pt idx="77">
                  <c:v>45600</c:v>
                </c:pt>
                <c:pt idx="78">
                  <c:v>45601</c:v>
                </c:pt>
                <c:pt idx="79">
                  <c:v>45602</c:v>
                </c:pt>
                <c:pt idx="80">
                  <c:v>45603</c:v>
                </c:pt>
                <c:pt idx="81">
                  <c:v>45604</c:v>
                </c:pt>
                <c:pt idx="82">
                  <c:v>45607</c:v>
                </c:pt>
                <c:pt idx="83">
                  <c:v>45608</c:v>
                </c:pt>
                <c:pt idx="84">
                  <c:v>45609</c:v>
                </c:pt>
                <c:pt idx="85">
                  <c:v>45610</c:v>
                </c:pt>
                <c:pt idx="86">
                  <c:v>45611</c:v>
                </c:pt>
                <c:pt idx="87">
                  <c:v>45614</c:v>
                </c:pt>
                <c:pt idx="88">
                  <c:v>45615</c:v>
                </c:pt>
                <c:pt idx="89">
                  <c:v>45616</c:v>
                </c:pt>
                <c:pt idx="90">
                  <c:v>45617</c:v>
                </c:pt>
                <c:pt idx="91">
                  <c:v>45618</c:v>
                </c:pt>
                <c:pt idx="92">
                  <c:v>45621</c:v>
                </c:pt>
                <c:pt idx="93">
                  <c:v>45622</c:v>
                </c:pt>
                <c:pt idx="94">
                  <c:v>45623</c:v>
                </c:pt>
                <c:pt idx="95">
                  <c:v>45625</c:v>
                </c:pt>
                <c:pt idx="96">
                  <c:v>45628</c:v>
                </c:pt>
                <c:pt idx="97">
                  <c:v>45629</c:v>
                </c:pt>
                <c:pt idx="98">
                  <c:v>45630</c:v>
                </c:pt>
                <c:pt idx="99">
                  <c:v>45631</c:v>
                </c:pt>
                <c:pt idx="100">
                  <c:v>45632</c:v>
                </c:pt>
                <c:pt idx="101">
                  <c:v>45635</c:v>
                </c:pt>
                <c:pt idx="102">
                  <c:v>45636</c:v>
                </c:pt>
                <c:pt idx="103">
                  <c:v>45637</c:v>
                </c:pt>
                <c:pt idx="104">
                  <c:v>45638</c:v>
                </c:pt>
                <c:pt idx="105">
                  <c:v>45639</c:v>
                </c:pt>
                <c:pt idx="106">
                  <c:v>45642</c:v>
                </c:pt>
                <c:pt idx="107">
                  <c:v>45643</c:v>
                </c:pt>
                <c:pt idx="108">
                  <c:v>45644</c:v>
                </c:pt>
                <c:pt idx="109">
                  <c:v>45645</c:v>
                </c:pt>
                <c:pt idx="110">
                  <c:v>45646</c:v>
                </c:pt>
                <c:pt idx="111">
                  <c:v>45649</c:v>
                </c:pt>
                <c:pt idx="112">
                  <c:v>45650</c:v>
                </c:pt>
                <c:pt idx="113">
                  <c:v>45652</c:v>
                </c:pt>
                <c:pt idx="114">
                  <c:v>45653</c:v>
                </c:pt>
                <c:pt idx="115">
                  <c:v>45656</c:v>
                </c:pt>
                <c:pt idx="116">
                  <c:v>45657</c:v>
                </c:pt>
                <c:pt idx="117">
                  <c:v>45659</c:v>
                </c:pt>
                <c:pt idx="118">
                  <c:v>45660</c:v>
                </c:pt>
                <c:pt idx="119">
                  <c:v>45663</c:v>
                </c:pt>
                <c:pt idx="120">
                  <c:v>45664</c:v>
                </c:pt>
                <c:pt idx="121">
                  <c:v>45665</c:v>
                </c:pt>
                <c:pt idx="122">
                  <c:v>45667</c:v>
                </c:pt>
                <c:pt idx="123">
                  <c:v>45670</c:v>
                </c:pt>
                <c:pt idx="124">
                  <c:v>45671</c:v>
                </c:pt>
                <c:pt idx="125">
                  <c:v>45672</c:v>
                </c:pt>
                <c:pt idx="126">
                  <c:v>45673</c:v>
                </c:pt>
                <c:pt idx="127">
                  <c:v>45674</c:v>
                </c:pt>
                <c:pt idx="128">
                  <c:v>45678</c:v>
                </c:pt>
                <c:pt idx="129">
                  <c:v>45679</c:v>
                </c:pt>
                <c:pt idx="130">
                  <c:v>45680</c:v>
                </c:pt>
                <c:pt idx="131">
                  <c:v>45681</c:v>
                </c:pt>
                <c:pt idx="132">
                  <c:v>45684</c:v>
                </c:pt>
                <c:pt idx="133">
                  <c:v>45685</c:v>
                </c:pt>
                <c:pt idx="134">
                  <c:v>45686</c:v>
                </c:pt>
                <c:pt idx="135">
                  <c:v>45687</c:v>
                </c:pt>
                <c:pt idx="136">
                  <c:v>45688</c:v>
                </c:pt>
                <c:pt idx="137">
                  <c:v>45691</c:v>
                </c:pt>
                <c:pt idx="138">
                  <c:v>45692</c:v>
                </c:pt>
                <c:pt idx="139">
                  <c:v>45693</c:v>
                </c:pt>
                <c:pt idx="140">
                  <c:v>45694</c:v>
                </c:pt>
                <c:pt idx="141">
                  <c:v>45695</c:v>
                </c:pt>
                <c:pt idx="142">
                  <c:v>45698</c:v>
                </c:pt>
                <c:pt idx="143">
                  <c:v>45699</c:v>
                </c:pt>
                <c:pt idx="144">
                  <c:v>45700</c:v>
                </c:pt>
                <c:pt idx="145">
                  <c:v>45701</c:v>
                </c:pt>
                <c:pt idx="146">
                  <c:v>45702</c:v>
                </c:pt>
                <c:pt idx="147">
                  <c:v>45706</c:v>
                </c:pt>
                <c:pt idx="148">
                  <c:v>45707</c:v>
                </c:pt>
                <c:pt idx="149">
                  <c:v>45708</c:v>
                </c:pt>
                <c:pt idx="150">
                  <c:v>45709</c:v>
                </c:pt>
                <c:pt idx="151">
                  <c:v>45712</c:v>
                </c:pt>
                <c:pt idx="152">
                  <c:v>45713</c:v>
                </c:pt>
                <c:pt idx="153">
                  <c:v>45714</c:v>
                </c:pt>
                <c:pt idx="154">
                  <c:v>45715</c:v>
                </c:pt>
                <c:pt idx="155">
                  <c:v>45716</c:v>
                </c:pt>
                <c:pt idx="156">
                  <c:v>45719</c:v>
                </c:pt>
                <c:pt idx="157">
                  <c:v>45720</c:v>
                </c:pt>
                <c:pt idx="158">
                  <c:v>45721</c:v>
                </c:pt>
                <c:pt idx="159">
                  <c:v>45722</c:v>
                </c:pt>
                <c:pt idx="160">
                  <c:v>45723</c:v>
                </c:pt>
                <c:pt idx="161">
                  <c:v>45726</c:v>
                </c:pt>
                <c:pt idx="162">
                  <c:v>45727</c:v>
                </c:pt>
                <c:pt idx="163">
                  <c:v>45728</c:v>
                </c:pt>
                <c:pt idx="164">
                  <c:v>45729</c:v>
                </c:pt>
                <c:pt idx="165">
                  <c:v>45730</c:v>
                </c:pt>
                <c:pt idx="166">
                  <c:v>45733</c:v>
                </c:pt>
                <c:pt idx="167">
                  <c:v>45734</c:v>
                </c:pt>
                <c:pt idx="168">
                  <c:v>45735</c:v>
                </c:pt>
                <c:pt idx="169">
                  <c:v>45736</c:v>
                </c:pt>
                <c:pt idx="170">
                  <c:v>45737</c:v>
                </c:pt>
                <c:pt idx="171">
                  <c:v>45740</c:v>
                </c:pt>
                <c:pt idx="172">
                  <c:v>45741</c:v>
                </c:pt>
                <c:pt idx="173">
                  <c:v>45742</c:v>
                </c:pt>
                <c:pt idx="174">
                  <c:v>45743</c:v>
                </c:pt>
                <c:pt idx="175">
                  <c:v>45744</c:v>
                </c:pt>
                <c:pt idx="176">
                  <c:v>45747</c:v>
                </c:pt>
              </c:numCache>
            </c:numRef>
          </c:cat>
          <c:val>
            <c:numRef>
              <c:f>'Q3 MACD'!$C$13:$C$189</c:f>
              <c:numCache>
                <c:formatCode>General</c:formatCode>
                <c:ptCount val="177"/>
                <c:pt idx="0">
                  <c:v>227.55000000000004</c:v>
                </c:pt>
                <c:pt idx="1">
                  <c:v>227.0315384615385</c:v>
                </c:pt>
                <c:pt idx="2">
                  <c:v>226.6128402366864</c:v>
                </c:pt>
                <c:pt idx="3">
                  <c:v>226.20471096950388</c:v>
                </c:pt>
                <c:pt idx="4">
                  <c:v>226.0209092818879</c:v>
                </c:pt>
                <c:pt idx="5">
                  <c:v>224.87000016159743</c:v>
                </c:pt>
                <c:pt idx="6">
                  <c:v>223.73461552135169</c:v>
                </c:pt>
                <c:pt idx="7">
                  <c:v>222.84621313345144</c:v>
                </c:pt>
                <c:pt idx="8">
                  <c:v>222.1375649590743</c:v>
                </c:pt>
                <c:pt idx="9">
                  <c:v>221.62409342690901</c:v>
                </c:pt>
                <c:pt idx="10">
                  <c:v>221.69423289969222</c:v>
                </c:pt>
                <c:pt idx="11">
                  <c:v>221.18127399204727</c:v>
                </c:pt>
                <c:pt idx="12">
                  <c:v>220.97800107019384</c:v>
                </c:pt>
                <c:pt idx="13">
                  <c:v>219.17677013631788</c:v>
                </c:pt>
                <c:pt idx="14">
                  <c:v>217.3388054999613</c:v>
                </c:pt>
                <c:pt idx="15">
                  <c:v>216.18206619227493</c:v>
                </c:pt>
                <c:pt idx="16">
                  <c:v>215.74020985500186</c:v>
                </c:pt>
                <c:pt idx="17">
                  <c:v>215.81710064654004</c:v>
                </c:pt>
                <c:pt idx="18">
                  <c:v>216.08062362399542</c:v>
                </c:pt>
                <c:pt idx="19">
                  <c:v>216.87898922030382</c:v>
                </c:pt>
                <c:pt idx="20">
                  <c:v>217.62376010948785</c:v>
                </c:pt>
                <c:pt idx="21">
                  <c:v>218.71548932341281</c:v>
                </c:pt>
                <c:pt idx="22">
                  <c:v>219.84387558134929</c:v>
                </c:pt>
                <c:pt idx="23">
                  <c:v>220.77404856883402</c:v>
                </c:pt>
                <c:pt idx="24">
                  <c:v>221.65650263516724</c:v>
                </c:pt>
                <c:pt idx="25">
                  <c:v>222.38627146052613</c:v>
                </c:pt>
                <c:pt idx="26">
                  <c:v>222.71607585121444</c:v>
                </c:pt>
                <c:pt idx="27">
                  <c:v>223.35052572025836</c:v>
                </c:pt>
                <c:pt idx="28">
                  <c:v>223.93967560944938</c:v>
                </c:pt>
                <c:pt idx="29">
                  <c:v>224.5689562849187</c:v>
                </c:pt>
                <c:pt idx="30">
                  <c:v>224.86450147185428</c:v>
                </c:pt>
                <c:pt idx="31">
                  <c:v>225.62227047618438</c:v>
                </c:pt>
                <c:pt idx="32">
                  <c:v>226.141921172156</c:v>
                </c:pt>
                <c:pt idx="33">
                  <c:v>225.62316406874737</c:v>
                </c:pt>
                <c:pt idx="34">
                  <c:v>224.88883113509391</c:v>
                </c:pt>
                <c:pt idx="35">
                  <c:v>224.50285711431022</c:v>
                </c:pt>
                <c:pt idx="36">
                  <c:v>223.93626371210865</c:v>
                </c:pt>
                <c:pt idx="37">
                  <c:v>223.47068467947656</c:v>
                </c:pt>
                <c:pt idx="38">
                  <c:v>222.95365626724941</c:v>
                </c:pt>
                <c:pt idx="39">
                  <c:v>222.90847837998029</c:v>
                </c:pt>
                <c:pt idx="40">
                  <c:v>222.88717401382948</c:v>
                </c:pt>
                <c:pt idx="41">
                  <c:v>222.82760878093262</c:v>
                </c:pt>
                <c:pt idx="42">
                  <c:v>221.82643819925067</c:v>
                </c:pt>
                <c:pt idx="43">
                  <c:v>221.05160155321209</c:v>
                </c:pt>
                <c:pt idx="44">
                  <c:v>220.99597054502561</c:v>
                </c:pt>
                <c:pt idx="45">
                  <c:v>222.20735969194476</c:v>
                </c:pt>
                <c:pt idx="46">
                  <c:v>223.12930435472248</c:v>
                </c:pt>
                <c:pt idx="47">
                  <c:v>223.64325753091902</c:v>
                </c:pt>
                <c:pt idx="48">
                  <c:v>224.21660252616226</c:v>
                </c:pt>
                <c:pt idx="49">
                  <c:v>224.54789444521424</c:v>
                </c:pt>
                <c:pt idx="50">
                  <c:v>225.00514145364281</c:v>
                </c:pt>
                <c:pt idx="51">
                  <c:v>225.43358123000544</c:v>
                </c:pt>
                <c:pt idx="52">
                  <c:v>226.59764565615845</c:v>
                </c:pt>
                <c:pt idx="53">
                  <c:v>226.5380078629033</c:v>
                </c:pt>
                <c:pt idx="54">
                  <c:v>226.57523742245664</c:v>
                </c:pt>
                <c:pt idx="55">
                  <c:v>226.43597012669409</c:v>
                </c:pt>
                <c:pt idx="56">
                  <c:v>226.49197472258732</c:v>
                </c:pt>
                <c:pt idx="57">
                  <c:v>225.75320938065079</c:v>
                </c:pt>
                <c:pt idx="58">
                  <c:v>225.75579255285834</c:v>
                </c:pt>
                <c:pt idx="59">
                  <c:v>226.33797831395705</c:v>
                </c:pt>
                <c:pt idx="60">
                  <c:v>226.75367395796366</c:v>
                </c:pt>
                <c:pt idx="61">
                  <c:v>226.87618565673847</c:v>
                </c:pt>
                <c:pt idx="62">
                  <c:v>227.55677247877873</c:v>
                </c:pt>
                <c:pt idx="63">
                  <c:v>228.52496132819738</c:v>
                </c:pt>
                <c:pt idx="64">
                  <c:v>229.02573650847472</c:v>
                </c:pt>
                <c:pt idx="65">
                  <c:v>229.50639243024784</c:v>
                </c:pt>
                <c:pt idx="66">
                  <c:v>230.35156282559433</c:v>
                </c:pt>
                <c:pt idx="67">
                  <c:v>231.29439931396445</c:v>
                </c:pt>
                <c:pt idx="68">
                  <c:v>231.99679941950836</c:v>
                </c:pt>
                <c:pt idx="69">
                  <c:v>231.80652258573787</c:v>
                </c:pt>
                <c:pt idx="70">
                  <c:v>231.61628834177822</c:v>
                </c:pt>
                <c:pt idx="71">
                  <c:v>231.58455167381234</c:v>
                </c:pt>
                <c:pt idx="72">
                  <c:v>231.86385141630277</c:v>
                </c:pt>
                <c:pt idx="73">
                  <c:v>232.14172042917926</c:v>
                </c:pt>
                <c:pt idx="74">
                  <c:v>231.82760959392093</c:v>
                </c:pt>
                <c:pt idx="75">
                  <c:v>230.91720811793311</c:v>
                </c:pt>
                <c:pt idx="76">
                  <c:v>229.68532994594341</c:v>
                </c:pt>
                <c:pt idx="77">
                  <c:v>228.50450995425979</c:v>
                </c:pt>
                <c:pt idx="78">
                  <c:v>227.72689303821983</c:v>
                </c:pt>
                <c:pt idx="79">
                  <c:v>226.95660180157063</c:v>
                </c:pt>
                <c:pt idx="80">
                  <c:v>227.037124601329</c:v>
                </c:pt>
                <c:pt idx="81">
                  <c:v>227.0252592780476</c:v>
                </c:pt>
                <c:pt idx="82">
                  <c:v>226.5952193891172</c:v>
                </c:pt>
                <c:pt idx="83">
                  <c:v>226.23133948309916</c:v>
                </c:pt>
                <c:pt idx="84">
                  <c:v>226.06036417800698</c:v>
                </c:pt>
                <c:pt idx="85">
                  <c:v>226.39261584292899</c:v>
                </c:pt>
                <c:pt idx="86">
                  <c:v>226.17836725170915</c:v>
                </c:pt>
                <c:pt idx="87">
                  <c:v>226.46169536683084</c:v>
                </c:pt>
                <c:pt idx="88">
                  <c:v>226.74143454116455</c:v>
                </c:pt>
                <c:pt idx="89">
                  <c:v>227.08890615021616</c:v>
                </c:pt>
                <c:pt idx="90">
                  <c:v>227.30907443479828</c:v>
                </c:pt>
                <c:pt idx="91">
                  <c:v>227.70306298329086</c:v>
                </c:pt>
                <c:pt idx="92">
                  <c:v>228.49797637047689</c:v>
                </c:pt>
                <c:pt idx="93">
                  <c:v>229.50751846732658</c:v>
                </c:pt>
                <c:pt idx="94">
                  <c:v>230.34174639543019</c:v>
                </c:pt>
                <c:pt idx="95">
                  <c:v>231.41686233459478</c:v>
                </c:pt>
                <c:pt idx="96">
                  <c:v>232.67426812927249</c:v>
                </c:pt>
                <c:pt idx="97">
                  <c:v>234.20899610938443</c:v>
                </c:pt>
                <c:pt idx="98">
                  <c:v>235.56299670794067</c:v>
                </c:pt>
                <c:pt idx="99">
                  <c:v>236.71330490671903</c:v>
                </c:pt>
                <c:pt idx="100">
                  <c:v>237.65587338260843</c:v>
                </c:pt>
                <c:pt idx="101">
                  <c:v>239.05496978528407</c:v>
                </c:pt>
                <c:pt idx="102">
                  <c:v>240.39574366447113</c:v>
                </c:pt>
                <c:pt idx="103">
                  <c:v>241.33332156224481</c:v>
                </c:pt>
                <c:pt idx="104">
                  <c:v>242.3528105526687</c:v>
                </c:pt>
                <c:pt idx="105">
                  <c:v>243.24160892918121</c:v>
                </c:pt>
                <c:pt idx="106">
                  <c:v>244.44136140161487</c:v>
                </c:pt>
                <c:pt idx="107">
                  <c:v>245.83192118598183</c:v>
                </c:pt>
                <c:pt idx="108">
                  <c:v>246.17316408044616</c:v>
                </c:pt>
                <c:pt idx="109">
                  <c:v>246.72960037576212</c:v>
                </c:pt>
                <c:pt idx="110">
                  <c:v>247.92350801026024</c:v>
                </c:pt>
                <c:pt idx="111">
                  <c:v>249.05373754714327</c:v>
                </c:pt>
                <c:pt idx="112">
                  <c:v>250.46085484758277</c:v>
                </c:pt>
                <c:pt idx="113">
                  <c:v>251.77764640949312</c:v>
                </c:pt>
                <c:pt idx="114">
                  <c:v>252.36416234649417</c:v>
                </c:pt>
                <c:pt idx="115">
                  <c:v>252.33890660087968</c:v>
                </c:pt>
                <c:pt idx="116">
                  <c:v>252.04369020074435</c:v>
                </c:pt>
                <c:pt idx="117">
                  <c:v>250.78312247755292</c:v>
                </c:pt>
                <c:pt idx="118">
                  <c:v>249.64110363485247</c:v>
                </c:pt>
                <c:pt idx="119">
                  <c:v>248.92708769102899</c:v>
                </c:pt>
                <c:pt idx="120">
                  <c:v>247.89368958471681</c:v>
                </c:pt>
                <c:pt idx="121">
                  <c:v>247.0946604178373</c:v>
                </c:pt>
                <c:pt idx="122">
                  <c:v>245.51855881509312</c:v>
                </c:pt>
                <c:pt idx="123">
                  <c:v>243.80801130507876</c:v>
                </c:pt>
                <c:pt idx="124">
                  <c:v>242.18831725814357</c:v>
                </c:pt>
                <c:pt idx="125">
                  <c:v>241.52396075689069</c:v>
                </c:pt>
                <c:pt idx="126">
                  <c:v>239.48335140967674</c:v>
                </c:pt>
                <c:pt idx="127">
                  <c:v>238.02129734664956</c:v>
                </c:pt>
                <c:pt idx="128">
                  <c:v>235.65494390870347</c:v>
                </c:pt>
                <c:pt idx="129">
                  <c:v>233.83572176890294</c:v>
                </c:pt>
                <c:pt idx="130">
                  <c:v>232.27022611214863</c:v>
                </c:pt>
                <c:pt idx="131">
                  <c:v>230.81019132566425</c:v>
                </c:pt>
                <c:pt idx="132">
                  <c:v>230.66400804479284</c:v>
                </c:pt>
                <c:pt idx="133">
                  <c:v>231.83262219174776</c:v>
                </c:pt>
                <c:pt idx="134">
                  <c:v>232.99068031609426</c:v>
                </c:pt>
                <c:pt idx="135">
                  <c:v>233.69826795977207</c:v>
                </c:pt>
                <c:pt idx="136">
                  <c:v>234.05238058134557</c:v>
                </c:pt>
                <c:pt idx="137">
                  <c:v>233.12278356883087</c:v>
                </c:pt>
                <c:pt idx="138">
                  <c:v>233.07312455824149</c:v>
                </c:pt>
                <c:pt idx="139">
                  <c:v>232.98033616466586</c:v>
                </c:pt>
                <c:pt idx="140">
                  <c:v>233.01720752394803</c:v>
                </c:pt>
                <c:pt idx="141">
                  <c:v>232.18840636641758</c:v>
                </c:pt>
                <c:pt idx="142">
                  <c:v>231.49019000235333</c:v>
                </c:pt>
                <c:pt idx="143">
                  <c:v>231.66400692506821</c:v>
                </c:pt>
                <c:pt idx="144">
                  <c:v>232.46492893659618</c:v>
                </c:pt>
                <c:pt idx="145">
                  <c:v>233.8595552540429</c:v>
                </c:pt>
                <c:pt idx="146">
                  <c:v>235.51193136880553</c:v>
                </c:pt>
                <c:pt idx="147">
                  <c:v>236.89009577360468</c:v>
                </c:pt>
                <c:pt idx="148">
                  <c:v>238.11777334689629</c:v>
                </c:pt>
                <c:pt idx="149">
                  <c:v>239.30426975506612</c:v>
                </c:pt>
                <c:pt idx="150">
                  <c:v>240.26515133120981</c:v>
                </c:pt>
                <c:pt idx="151">
                  <c:v>241.3166665110237</c:v>
                </c:pt>
                <c:pt idx="152">
                  <c:v>242.19717935548158</c:v>
                </c:pt>
                <c:pt idx="153">
                  <c:v>241.91453637771519</c:v>
                </c:pt>
                <c:pt idx="154">
                  <c:v>241.20460770422054</c:v>
                </c:pt>
                <c:pt idx="155">
                  <c:v>241.30236036510968</c:v>
                </c:pt>
                <c:pt idx="156">
                  <c:v>240.79892030893896</c:v>
                </c:pt>
                <c:pt idx="157">
                  <c:v>240.04985564602526</c:v>
                </c:pt>
                <c:pt idx="158">
                  <c:v>239.38680093125214</c:v>
                </c:pt>
                <c:pt idx="159">
                  <c:v>238.7626777110595</c:v>
                </c:pt>
                <c:pt idx="160">
                  <c:v>238.80995806320419</c:v>
                </c:pt>
                <c:pt idx="161">
                  <c:v>237.06688759194202</c:v>
                </c:pt>
                <c:pt idx="162">
                  <c:v>234.57044334702786</c:v>
                </c:pt>
                <c:pt idx="163">
                  <c:v>231.86422129363896</c:v>
                </c:pt>
                <c:pt idx="164">
                  <c:v>228.45126417154066</c:v>
                </c:pt>
                <c:pt idx="165">
                  <c:v>226.14953122207288</c:v>
                </c:pt>
                <c:pt idx="166">
                  <c:v>224.28037257252322</c:v>
                </c:pt>
                <c:pt idx="167">
                  <c:v>222.49723833059659</c:v>
                </c:pt>
                <c:pt idx="168">
                  <c:v>221.38074012588942</c:v>
                </c:pt>
                <c:pt idx="169">
                  <c:v>220.26062626036799</c:v>
                </c:pt>
                <c:pt idx="170">
                  <c:v>219.95437606646522</c:v>
                </c:pt>
                <c:pt idx="171">
                  <c:v>220.07370282547055</c:v>
                </c:pt>
                <c:pt idx="172">
                  <c:v>220.63928700616739</c:v>
                </c:pt>
                <c:pt idx="173">
                  <c:v>220.77631977444932</c:v>
                </c:pt>
                <c:pt idx="174">
                  <c:v>221.24919365530326</c:v>
                </c:pt>
                <c:pt idx="175">
                  <c:v>220.73393309294892</c:v>
                </c:pt>
                <c:pt idx="176">
                  <c:v>220.94871261711063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B8-1844-9DF9-E24DF2892922}"/>
            </c:ext>
          </c:extLst>
        </c:ser>
        <c:ser>
          <c:idx val="2"/>
          <c:order val="2"/>
          <c:tx>
            <c:v>26 day ema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'Q3 MACD'!$A$13:$A$189</c:f>
              <c:numCache>
                <c:formatCode>m/d/yy</c:formatCode>
                <c:ptCount val="177"/>
                <c:pt idx="0">
                  <c:v>45490</c:v>
                </c:pt>
                <c:pt idx="1">
                  <c:v>45491</c:v>
                </c:pt>
                <c:pt idx="2">
                  <c:v>45492</c:v>
                </c:pt>
                <c:pt idx="3">
                  <c:v>45495</c:v>
                </c:pt>
                <c:pt idx="4">
                  <c:v>45496</c:v>
                </c:pt>
                <c:pt idx="5">
                  <c:v>45497</c:v>
                </c:pt>
                <c:pt idx="6">
                  <c:v>45498</c:v>
                </c:pt>
                <c:pt idx="7">
                  <c:v>45499</c:v>
                </c:pt>
                <c:pt idx="8">
                  <c:v>45502</c:v>
                </c:pt>
                <c:pt idx="9">
                  <c:v>45503</c:v>
                </c:pt>
                <c:pt idx="10">
                  <c:v>45504</c:v>
                </c:pt>
                <c:pt idx="11">
                  <c:v>45505</c:v>
                </c:pt>
                <c:pt idx="12">
                  <c:v>45506</c:v>
                </c:pt>
                <c:pt idx="13">
                  <c:v>45509</c:v>
                </c:pt>
                <c:pt idx="14">
                  <c:v>45510</c:v>
                </c:pt>
                <c:pt idx="15">
                  <c:v>45511</c:v>
                </c:pt>
                <c:pt idx="16">
                  <c:v>45512</c:v>
                </c:pt>
                <c:pt idx="17">
                  <c:v>45513</c:v>
                </c:pt>
                <c:pt idx="18">
                  <c:v>45516</c:v>
                </c:pt>
                <c:pt idx="19">
                  <c:v>45517</c:v>
                </c:pt>
                <c:pt idx="20">
                  <c:v>45518</c:v>
                </c:pt>
                <c:pt idx="21">
                  <c:v>45519</c:v>
                </c:pt>
                <c:pt idx="22">
                  <c:v>45520</c:v>
                </c:pt>
                <c:pt idx="23">
                  <c:v>45523</c:v>
                </c:pt>
                <c:pt idx="24">
                  <c:v>45524</c:v>
                </c:pt>
                <c:pt idx="25">
                  <c:v>45525</c:v>
                </c:pt>
                <c:pt idx="26">
                  <c:v>45526</c:v>
                </c:pt>
                <c:pt idx="27">
                  <c:v>45527</c:v>
                </c:pt>
                <c:pt idx="28">
                  <c:v>45530</c:v>
                </c:pt>
                <c:pt idx="29">
                  <c:v>45531</c:v>
                </c:pt>
                <c:pt idx="30">
                  <c:v>45532</c:v>
                </c:pt>
                <c:pt idx="31">
                  <c:v>45533</c:v>
                </c:pt>
                <c:pt idx="32">
                  <c:v>45534</c:v>
                </c:pt>
                <c:pt idx="33">
                  <c:v>45538</c:v>
                </c:pt>
                <c:pt idx="34">
                  <c:v>45539</c:v>
                </c:pt>
                <c:pt idx="35">
                  <c:v>45540</c:v>
                </c:pt>
                <c:pt idx="36">
                  <c:v>45541</c:v>
                </c:pt>
                <c:pt idx="37">
                  <c:v>45544</c:v>
                </c:pt>
                <c:pt idx="38">
                  <c:v>45545</c:v>
                </c:pt>
                <c:pt idx="39">
                  <c:v>45546</c:v>
                </c:pt>
                <c:pt idx="40">
                  <c:v>45547</c:v>
                </c:pt>
                <c:pt idx="41">
                  <c:v>45548</c:v>
                </c:pt>
                <c:pt idx="42">
                  <c:v>45551</c:v>
                </c:pt>
                <c:pt idx="43">
                  <c:v>45552</c:v>
                </c:pt>
                <c:pt idx="44">
                  <c:v>45553</c:v>
                </c:pt>
                <c:pt idx="45">
                  <c:v>45554</c:v>
                </c:pt>
                <c:pt idx="46">
                  <c:v>45555</c:v>
                </c:pt>
                <c:pt idx="47">
                  <c:v>45558</c:v>
                </c:pt>
                <c:pt idx="48">
                  <c:v>45559</c:v>
                </c:pt>
                <c:pt idx="49">
                  <c:v>45560</c:v>
                </c:pt>
                <c:pt idx="50">
                  <c:v>45561</c:v>
                </c:pt>
                <c:pt idx="51">
                  <c:v>45562</c:v>
                </c:pt>
                <c:pt idx="52">
                  <c:v>45565</c:v>
                </c:pt>
                <c:pt idx="53">
                  <c:v>45566</c:v>
                </c:pt>
                <c:pt idx="54">
                  <c:v>45567</c:v>
                </c:pt>
                <c:pt idx="55">
                  <c:v>45568</c:v>
                </c:pt>
                <c:pt idx="56">
                  <c:v>45569</c:v>
                </c:pt>
                <c:pt idx="57">
                  <c:v>45572</c:v>
                </c:pt>
                <c:pt idx="58">
                  <c:v>45573</c:v>
                </c:pt>
                <c:pt idx="59">
                  <c:v>45574</c:v>
                </c:pt>
                <c:pt idx="60">
                  <c:v>45575</c:v>
                </c:pt>
                <c:pt idx="61">
                  <c:v>45576</c:v>
                </c:pt>
                <c:pt idx="62">
                  <c:v>45579</c:v>
                </c:pt>
                <c:pt idx="63">
                  <c:v>45580</c:v>
                </c:pt>
                <c:pt idx="64">
                  <c:v>45581</c:v>
                </c:pt>
                <c:pt idx="65">
                  <c:v>45582</c:v>
                </c:pt>
                <c:pt idx="66">
                  <c:v>45583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45593</c:v>
                </c:pt>
                <c:pt idx="73">
                  <c:v>45594</c:v>
                </c:pt>
                <c:pt idx="74">
                  <c:v>45595</c:v>
                </c:pt>
                <c:pt idx="75">
                  <c:v>45596</c:v>
                </c:pt>
                <c:pt idx="76">
                  <c:v>45597</c:v>
                </c:pt>
                <c:pt idx="77">
                  <c:v>45600</c:v>
                </c:pt>
                <c:pt idx="78">
                  <c:v>45601</c:v>
                </c:pt>
                <c:pt idx="79">
                  <c:v>45602</c:v>
                </c:pt>
                <c:pt idx="80">
                  <c:v>45603</c:v>
                </c:pt>
                <c:pt idx="81">
                  <c:v>45604</c:v>
                </c:pt>
                <c:pt idx="82">
                  <c:v>45607</c:v>
                </c:pt>
                <c:pt idx="83">
                  <c:v>45608</c:v>
                </c:pt>
                <c:pt idx="84">
                  <c:v>45609</c:v>
                </c:pt>
                <c:pt idx="85">
                  <c:v>45610</c:v>
                </c:pt>
                <c:pt idx="86">
                  <c:v>45611</c:v>
                </c:pt>
                <c:pt idx="87">
                  <c:v>45614</c:v>
                </c:pt>
                <c:pt idx="88">
                  <c:v>45615</c:v>
                </c:pt>
                <c:pt idx="89">
                  <c:v>45616</c:v>
                </c:pt>
                <c:pt idx="90">
                  <c:v>45617</c:v>
                </c:pt>
                <c:pt idx="91">
                  <c:v>45618</c:v>
                </c:pt>
                <c:pt idx="92">
                  <c:v>45621</c:v>
                </c:pt>
                <c:pt idx="93">
                  <c:v>45622</c:v>
                </c:pt>
                <c:pt idx="94">
                  <c:v>45623</c:v>
                </c:pt>
                <c:pt idx="95">
                  <c:v>45625</c:v>
                </c:pt>
                <c:pt idx="96">
                  <c:v>45628</c:v>
                </c:pt>
                <c:pt idx="97">
                  <c:v>45629</c:v>
                </c:pt>
                <c:pt idx="98">
                  <c:v>45630</c:v>
                </c:pt>
                <c:pt idx="99">
                  <c:v>45631</c:v>
                </c:pt>
                <c:pt idx="100">
                  <c:v>45632</c:v>
                </c:pt>
                <c:pt idx="101">
                  <c:v>45635</c:v>
                </c:pt>
                <c:pt idx="102">
                  <c:v>45636</c:v>
                </c:pt>
                <c:pt idx="103">
                  <c:v>45637</c:v>
                </c:pt>
                <c:pt idx="104">
                  <c:v>45638</c:v>
                </c:pt>
                <c:pt idx="105">
                  <c:v>45639</c:v>
                </c:pt>
                <c:pt idx="106">
                  <c:v>45642</c:v>
                </c:pt>
                <c:pt idx="107">
                  <c:v>45643</c:v>
                </c:pt>
                <c:pt idx="108">
                  <c:v>45644</c:v>
                </c:pt>
                <c:pt idx="109">
                  <c:v>45645</c:v>
                </c:pt>
                <c:pt idx="110">
                  <c:v>45646</c:v>
                </c:pt>
                <c:pt idx="111">
                  <c:v>45649</c:v>
                </c:pt>
                <c:pt idx="112">
                  <c:v>45650</c:v>
                </c:pt>
                <c:pt idx="113">
                  <c:v>45652</c:v>
                </c:pt>
                <c:pt idx="114">
                  <c:v>45653</c:v>
                </c:pt>
                <c:pt idx="115">
                  <c:v>45656</c:v>
                </c:pt>
                <c:pt idx="116">
                  <c:v>45657</c:v>
                </c:pt>
                <c:pt idx="117">
                  <c:v>45659</c:v>
                </c:pt>
                <c:pt idx="118">
                  <c:v>45660</c:v>
                </c:pt>
                <c:pt idx="119">
                  <c:v>45663</c:v>
                </c:pt>
                <c:pt idx="120">
                  <c:v>45664</c:v>
                </c:pt>
                <c:pt idx="121">
                  <c:v>45665</c:v>
                </c:pt>
                <c:pt idx="122">
                  <c:v>45667</c:v>
                </c:pt>
                <c:pt idx="123">
                  <c:v>45670</c:v>
                </c:pt>
                <c:pt idx="124">
                  <c:v>45671</c:v>
                </c:pt>
                <c:pt idx="125">
                  <c:v>45672</c:v>
                </c:pt>
                <c:pt idx="126">
                  <c:v>45673</c:v>
                </c:pt>
                <c:pt idx="127">
                  <c:v>45674</c:v>
                </c:pt>
                <c:pt idx="128">
                  <c:v>45678</c:v>
                </c:pt>
                <c:pt idx="129">
                  <c:v>45679</c:v>
                </c:pt>
                <c:pt idx="130">
                  <c:v>45680</c:v>
                </c:pt>
                <c:pt idx="131">
                  <c:v>45681</c:v>
                </c:pt>
                <c:pt idx="132">
                  <c:v>45684</c:v>
                </c:pt>
                <c:pt idx="133">
                  <c:v>45685</c:v>
                </c:pt>
                <c:pt idx="134">
                  <c:v>45686</c:v>
                </c:pt>
                <c:pt idx="135">
                  <c:v>45687</c:v>
                </c:pt>
                <c:pt idx="136">
                  <c:v>45688</c:v>
                </c:pt>
                <c:pt idx="137">
                  <c:v>45691</c:v>
                </c:pt>
                <c:pt idx="138">
                  <c:v>45692</c:v>
                </c:pt>
                <c:pt idx="139">
                  <c:v>45693</c:v>
                </c:pt>
                <c:pt idx="140">
                  <c:v>45694</c:v>
                </c:pt>
                <c:pt idx="141">
                  <c:v>45695</c:v>
                </c:pt>
                <c:pt idx="142">
                  <c:v>45698</c:v>
                </c:pt>
                <c:pt idx="143">
                  <c:v>45699</c:v>
                </c:pt>
                <c:pt idx="144">
                  <c:v>45700</c:v>
                </c:pt>
                <c:pt idx="145">
                  <c:v>45701</c:v>
                </c:pt>
                <c:pt idx="146">
                  <c:v>45702</c:v>
                </c:pt>
                <c:pt idx="147">
                  <c:v>45706</c:v>
                </c:pt>
                <c:pt idx="148">
                  <c:v>45707</c:v>
                </c:pt>
                <c:pt idx="149">
                  <c:v>45708</c:v>
                </c:pt>
                <c:pt idx="150">
                  <c:v>45709</c:v>
                </c:pt>
                <c:pt idx="151">
                  <c:v>45712</c:v>
                </c:pt>
                <c:pt idx="152">
                  <c:v>45713</c:v>
                </c:pt>
                <c:pt idx="153">
                  <c:v>45714</c:v>
                </c:pt>
                <c:pt idx="154">
                  <c:v>45715</c:v>
                </c:pt>
                <c:pt idx="155">
                  <c:v>45716</c:v>
                </c:pt>
                <c:pt idx="156">
                  <c:v>45719</c:v>
                </c:pt>
                <c:pt idx="157">
                  <c:v>45720</c:v>
                </c:pt>
                <c:pt idx="158">
                  <c:v>45721</c:v>
                </c:pt>
                <c:pt idx="159">
                  <c:v>45722</c:v>
                </c:pt>
                <c:pt idx="160">
                  <c:v>45723</c:v>
                </c:pt>
                <c:pt idx="161">
                  <c:v>45726</c:v>
                </c:pt>
                <c:pt idx="162">
                  <c:v>45727</c:v>
                </c:pt>
                <c:pt idx="163">
                  <c:v>45728</c:v>
                </c:pt>
                <c:pt idx="164">
                  <c:v>45729</c:v>
                </c:pt>
                <c:pt idx="165">
                  <c:v>45730</c:v>
                </c:pt>
                <c:pt idx="166">
                  <c:v>45733</c:v>
                </c:pt>
                <c:pt idx="167">
                  <c:v>45734</c:v>
                </c:pt>
                <c:pt idx="168">
                  <c:v>45735</c:v>
                </c:pt>
                <c:pt idx="169">
                  <c:v>45736</c:v>
                </c:pt>
                <c:pt idx="170">
                  <c:v>45737</c:v>
                </c:pt>
                <c:pt idx="171">
                  <c:v>45740</c:v>
                </c:pt>
                <c:pt idx="172">
                  <c:v>45741</c:v>
                </c:pt>
                <c:pt idx="173">
                  <c:v>45742</c:v>
                </c:pt>
                <c:pt idx="174">
                  <c:v>45743</c:v>
                </c:pt>
                <c:pt idx="175">
                  <c:v>45744</c:v>
                </c:pt>
                <c:pt idx="176">
                  <c:v>45747</c:v>
                </c:pt>
              </c:numCache>
            </c:numRef>
          </c:cat>
          <c:val>
            <c:numRef>
              <c:f>'Q3 MACD'!$D$13:$D$189</c:f>
              <c:numCache>
                <c:formatCode>General</c:formatCode>
                <c:ptCount val="177"/>
                <c:pt idx="14">
                  <c:v>222.91884615384612</c:v>
                </c:pt>
                <c:pt idx="15">
                  <c:v>221.94856125356122</c:v>
                </c:pt>
                <c:pt idx="16">
                  <c:v>221.30866782737149</c:v>
                </c:pt>
                <c:pt idx="17">
                  <c:v>220.9332109512699</c:v>
                </c:pt>
                <c:pt idx="18">
                  <c:v>220.68112125117585</c:v>
                </c:pt>
                <c:pt idx="19">
                  <c:v>220.7247418992369</c:v>
                </c:pt>
                <c:pt idx="20">
                  <c:v>220.79846472151564</c:v>
                </c:pt>
                <c:pt idx="21">
                  <c:v>221.08894881621819</c:v>
                </c:pt>
                <c:pt idx="22">
                  <c:v>221.45643408909092</c:v>
                </c:pt>
                <c:pt idx="23">
                  <c:v>221.7848463787879</c:v>
                </c:pt>
                <c:pt idx="24">
                  <c:v>222.13485775813695</c:v>
                </c:pt>
                <c:pt idx="25">
                  <c:v>222.45079422049716</c:v>
                </c:pt>
                <c:pt idx="26">
                  <c:v>222.60480946342329</c:v>
                </c:pt>
                <c:pt idx="27">
                  <c:v>222.9185272809475</c:v>
                </c:pt>
                <c:pt idx="28">
                  <c:v>223.23419192680325</c:v>
                </c:pt>
                <c:pt idx="29">
                  <c:v>223.58943696926227</c:v>
                </c:pt>
                <c:pt idx="30">
                  <c:v>223.80429349005766</c:v>
                </c:pt>
                <c:pt idx="31">
                  <c:v>224.24767915746079</c:v>
                </c:pt>
                <c:pt idx="32">
                  <c:v>224.5997029235748</c:v>
                </c:pt>
                <c:pt idx="33">
                  <c:v>224.46416937368036</c:v>
                </c:pt>
                <c:pt idx="34">
                  <c:v>224.19645312377813</c:v>
                </c:pt>
                <c:pt idx="35">
                  <c:v>224.0619010405353</c:v>
                </c:pt>
                <c:pt idx="36">
                  <c:v>223.82176022271787</c:v>
                </c:pt>
                <c:pt idx="37">
                  <c:v>223.60607428029431</c:v>
                </c:pt>
                <c:pt idx="38">
                  <c:v>223.34710581508733</c:v>
                </c:pt>
                <c:pt idx="39">
                  <c:v>223.29620908804384</c:v>
                </c:pt>
                <c:pt idx="40">
                  <c:v>223.25723063707761</c:v>
                </c:pt>
                <c:pt idx="41">
                  <c:v>223.20113947877559</c:v>
                </c:pt>
                <c:pt idx="42">
                  <c:v>222.69142544331072</c:v>
                </c:pt>
                <c:pt idx="43">
                  <c:v>222.25428281788029</c:v>
                </c:pt>
                <c:pt idx="44">
                  <c:v>222.13841001655584</c:v>
                </c:pt>
                <c:pt idx="45">
                  <c:v>222.6370463116258</c:v>
                </c:pt>
                <c:pt idx="46">
                  <c:v>223.04911695520909</c:v>
                </c:pt>
                <c:pt idx="47">
                  <c:v>223.3025156992677</c:v>
                </c:pt>
                <c:pt idx="48">
                  <c:v>223.60381083265528</c:v>
                </c:pt>
                <c:pt idx="49">
                  <c:v>223.8087137339401</c:v>
                </c:pt>
                <c:pt idx="50">
                  <c:v>224.08362382772231</c:v>
                </c:pt>
                <c:pt idx="51">
                  <c:v>224.35817021085398</c:v>
                </c:pt>
                <c:pt idx="52">
                  <c:v>224.99830575079073</c:v>
                </c:pt>
                <c:pt idx="53">
                  <c:v>225.08806088036178</c:v>
                </c:pt>
                <c:pt idx="54">
                  <c:v>225.21338970403866</c:v>
                </c:pt>
                <c:pt idx="55">
                  <c:v>225.24721268892469</c:v>
                </c:pt>
                <c:pt idx="56">
                  <c:v>225.36223397122657</c:v>
                </c:pt>
                <c:pt idx="57">
                  <c:v>225.09021664002461</c:v>
                </c:pt>
                <c:pt idx="58">
                  <c:v>225.14057096298575</c:v>
                </c:pt>
                <c:pt idx="59">
                  <c:v>225.46645459535716</c:v>
                </c:pt>
                <c:pt idx="60">
                  <c:v>225.73116166236773</c:v>
                </c:pt>
                <c:pt idx="61">
                  <c:v>225.86589042811826</c:v>
                </c:pt>
                <c:pt idx="62">
                  <c:v>226.26841706307246</c:v>
                </c:pt>
                <c:pt idx="63">
                  <c:v>226.83001579914117</c:v>
                </c:pt>
                <c:pt idx="64">
                  <c:v>227.19668129550107</c:v>
                </c:pt>
                <c:pt idx="65">
                  <c:v>227.56359379213063</c:v>
                </c:pt>
                <c:pt idx="66">
                  <c:v>228.11443869641727</c:v>
                </c:pt>
                <c:pt idx="67">
                  <c:v>228.73410990409005</c:v>
                </c:pt>
                <c:pt idx="68">
                  <c:v>229.26195361489818</c:v>
                </c:pt>
                <c:pt idx="69">
                  <c:v>229.37292001379461</c:v>
                </c:pt>
                <c:pt idx="70">
                  <c:v>229.46159260536538</c:v>
                </c:pt>
                <c:pt idx="71">
                  <c:v>229.60591907904202</c:v>
                </c:pt>
                <c:pt idx="72">
                  <c:v>229.88696211022409</c:v>
                </c:pt>
                <c:pt idx="73">
                  <c:v>230.16718713909637</c:v>
                </c:pt>
                <c:pt idx="74">
                  <c:v>230.16221031397814</c:v>
                </c:pt>
                <c:pt idx="75">
                  <c:v>229.84723177220198</c:v>
                </c:pt>
                <c:pt idx="76">
                  <c:v>229.33336275203885</c:v>
                </c:pt>
                <c:pt idx="77">
                  <c:v>228.79089143707301</c:v>
                </c:pt>
                <c:pt idx="78">
                  <c:v>228.3952698491417</c:v>
                </c:pt>
                <c:pt idx="79">
                  <c:v>227.97487948994601</c:v>
                </c:pt>
                <c:pt idx="80">
                  <c:v>227.93822174995</c:v>
                </c:pt>
                <c:pt idx="81">
                  <c:v>227.86576087958335</c:v>
                </c:pt>
                <c:pt idx="82">
                  <c:v>227.59644525887347</c:v>
                </c:pt>
                <c:pt idx="83">
                  <c:v>227.34707894340139</c:v>
                </c:pt>
                <c:pt idx="84">
                  <c:v>227.18211013277906</c:v>
                </c:pt>
                <c:pt idx="85">
                  <c:v>227.25899086368432</c:v>
                </c:pt>
                <c:pt idx="86">
                  <c:v>227.0916582071151</c:v>
                </c:pt>
                <c:pt idx="87">
                  <c:v>227.1604242658473</c:v>
                </c:pt>
                <c:pt idx="88">
                  <c:v>227.24335580171046</c:v>
                </c:pt>
                <c:pt idx="89">
                  <c:v>227.37347759417636</c:v>
                </c:pt>
                <c:pt idx="90">
                  <c:v>227.45840517979292</c:v>
                </c:pt>
                <c:pt idx="91">
                  <c:v>227.63704183314158</c:v>
                </c:pt>
                <c:pt idx="92">
                  <c:v>228.02466836401999</c:v>
                </c:pt>
                <c:pt idx="93">
                  <c:v>228.54580404075924</c:v>
                </c:pt>
                <c:pt idx="94">
                  <c:v>229.01870744514741</c:v>
                </c:pt>
                <c:pt idx="95">
                  <c:v>229.63435874550686</c:v>
                </c:pt>
                <c:pt idx="96">
                  <c:v>230.3718136532471</c:v>
                </c:pt>
                <c:pt idx="97">
                  <c:v>231.28130893819176</c:v>
                </c:pt>
                <c:pt idx="98">
                  <c:v>232.15010086869609</c:v>
                </c:pt>
                <c:pt idx="99">
                  <c:v>232.95676006360748</c:v>
                </c:pt>
                <c:pt idx="100">
                  <c:v>233.68885191074767</c:v>
                </c:pt>
                <c:pt idx="101">
                  <c:v>234.65634436180341</c:v>
                </c:pt>
                <c:pt idx="102">
                  <c:v>235.62772626092908</c:v>
                </c:pt>
                <c:pt idx="103">
                  <c:v>236.43233913048988</c:v>
                </c:pt>
                <c:pt idx="104">
                  <c:v>237.28623993563878</c:v>
                </c:pt>
                <c:pt idx="105">
                  <c:v>238.08948142188774</c:v>
                </c:pt>
                <c:pt idx="106">
                  <c:v>239.04877909434052</c:v>
                </c:pt>
                <c:pt idx="107">
                  <c:v>240.11775842068567</c:v>
                </c:pt>
                <c:pt idx="108">
                  <c:v>240.70533187100523</c:v>
                </c:pt>
                <c:pt idx="109">
                  <c:v>241.37827025093077</c:v>
                </c:pt>
                <c:pt idx="110">
                  <c:v>242.34950949160259</c:v>
                </c:pt>
                <c:pt idx="111">
                  <c:v>243.30658286259501</c:v>
                </c:pt>
                <c:pt idx="112">
                  <c:v>244.40979894684722</c:v>
                </c:pt>
                <c:pt idx="113">
                  <c:v>245.49203606189556</c:v>
                </c:pt>
                <c:pt idx="114">
                  <c:v>246.24003339064404</c:v>
                </c:pt>
                <c:pt idx="115">
                  <c:v>246.6815123987445</c:v>
                </c:pt>
                <c:pt idx="116">
                  <c:v>246.95843740624491</c:v>
                </c:pt>
                <c:pt idx="117">
                  <c:v>246.7281827835601</c:v>
                </c:pt>
                <c:pt idx="118">
                  <c:v>246.47868776255567</c:v>
                </c:pt>
                <c:pt idx="119">
                  <c:v>246.3691553356997</c:v>
                </c:pt>
                <c:pt idx="120">
                  <c:v>246.06106975527749</c:v>
                </c:pt>
                <c:pt idx="121">
                  <c:v>245.81210162525696</c:v>
                </c:pt>
                <c:pt idx="122">
                  <c:v>245.14824224560832</c:v>
                </c:pt>
                <c:pt idx="123">
                  <c:v>244.35207615334105</c:v>
                </c:pt>
                <c:pt idx="124">
                  <c:v>243.53192236420466</c:v>
                </c:pt>
                <c:pt idx="125">
                  <c:v>243.1125207075969</c:v>
                </c:pt>
                <c:pt idx="126">
                  <c:v>242.01233398851565</c:v>
                </c:pt>
                <c:pt idx="127">
                  <c:v>241.12104998936636</c:v>
                </c:pt>
                <c:pt idx="128">
                  <c:v>239.75208332348734</c:v>
                </c:pt>
                <c:pt idx="129">
                  <c:v>238.57266974396975</c:v>
                </c:pt>
                <c:pt idx="130">
                  <c:v>237.46802754071274</c:v>
                </c:pt>
                <c:pt idx="131">
                  <c:v>236.38002550065994</c:v>
                </c:pt>
                <c:pt idx="132">
                  <c:v>235.89706064875921</c:v>
                </c:pt>
                <c:pt idx="133">
                  <c:v>236.07209319329556</c:v>
                </c:pt>
                <c:pt idx="134">
                  <c:v>236.31564184564402</c:v>
                </c:pt>
                <c:pt idx="135">
                  <c:v>236.41003874596669</c:v>
                </c:pt>
                <c:pt idx="136">
                  <c:v>236.37966550552471</c:v>
                </c:pt>
                <c:pt idx="137">
                  <c:v>235.75969028289327</c:v>
                </c:pt>
                <c:pt idx="138">
                  <c:v>235.54045396564192</c:v>
                </c:pt>
                <c:pt idx="139">
                  <c:v>235.31301293114993</c:v>
                </c:pt>
                <c:pt idx="140">
                  <c:v>235.15797493624996</c:v>
                </c:pt>
                <c:pt idx="141">
                  <c:v>234.60034716319441</c:v>
                </c:pt>
                <c:pt idx="142">
                  <c:v>234.08550663258742</c:v>
                </c:pt>
                <c:pt idx="143">
                  <c:v>233.9769505857291</c:v>
                </c:pt>
                <c:pt idx="144">
                  <c:v>234.19125054234175</c:v>
                </c:pt>
                <c:pt idx="145">
                  <c:v>234.73486161327941</c:v>
                </c:pt>
                <c:pt idx="146">
                  <c:v>235.46561260488835</c:v>
                </c:pt>
                <c:pt idx="147">
                  <c:v>236.13260426378551</c:v>
                </c:pt>
                <c:pt idx="148">
                  <c:v>236.77981876276436</c:v>
                </c:pt>
                <c:pt idx="149">
                  <c:v>237.45020255811517</c:v>
                </c:pt>
                <c:pt idx="150">
                  <c:v>238.05018755381036</c:v>
                </c:pt>
                <c:pt idx="151">
                  <c:v>238.72054403130591</c:v>
                </c:pt>
                <c:pt idx="152">
                  <c:v>239.33680002898694</c:v>
                </c:pt>
                <c:pt idx="153">
                  <c:v>239.41259261943236</c:v>
                </c:pt>
                <c:pt idx="154">
                  <c:v>239.25610427725218</c:v>
                </c:pt>
                <c:pt idx="155">
                  <c:v>239.44750396041869</c:v>
                </c:pt>
                <c:pt idx="156">
                  <c:v>239.34250366705433</c:v>
                </c:pt>
                <c:pt idx="157">
                  <c:v>239.0897256176429</c:v>
                </c:pt>
                <c:pt idx="158">
                  <c:v>238.8415977941138</c:v>
                </c:pt>
                <c:pt idx="159">
                  <c:v>238.58147943899425</c:v>
                </c:pt>
                <c:pt idx="160">
                  <c:v>238.61766614721688</c:v>
                </c:pt>
                <c:pt idx="161">
                  <c:v>237.79265384001562</c:v>
                </c:pt>
                <c:pt idx="162">
                  <c:v>236.53690170371814</c:v>
                </c:pt>
                <c:pt idx="163">
                  <c:v>235.08824231825756</c:v>
                </c:pt>
                <c:pt idx="164">
                  <c:v>233.20615029468291</c:v>
                </c:pt>
                <c:pt idx="165">
                  <c:v>231.74569471729902</c:v>
                </c:pt>
                <c:pt idx="166">
                  <c:v>230.43119881231391</c:v>
                </c:pt>
                <c:pt idx="167">
                  <c:v>229.1170359373277</c:v>
                </c:pt>
                <c:pt idx="168">
                  <c:v>228.08910734937751</c:v>
                </c:pt>
                <c:pt idx="169">
                  <c:v>227.05287717534955</c:v>
                </c:pt>
                <c:pt idx="170">
                  <c:v>226.40229368087921</c:v>
                </c:pt>
                <c:pt idx="171">
                  <c:v>225.98212377859187</c:v>
                </c:pt>
                <c:pt idx="172">
                  <c:v>225.81678127647396</c:v>
                </c:pt>
                <c:pt idx="173">
                  <c:v>225.49924192266107</c:v>
                </c:pt>
                <c:pt idx="174">
                  <c:v>225.37707585431582</c:v>
                </c:pt>
                <c:pt idx="175">
                  <c:v>224.82321838362577</c:v>
                </c:pt>
                <c:pt idx="176">
                  <c:v>224.6237207255794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B8-1844-9DF9-E24DF2892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789728"/>
        <c:axId val="629748032"/>
      </c:lineChart>
      <c:dateAx>
        <c:axId val="56978972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748032"/>
        <c:crosses val="autoZero"/>
        <c:auto val="1"/>
        <c:lblOffset val="100"/>
        <c:baseTimeUnit val="days"/>
      </c:dateAx>
      <c:valAx>
        <c:axId val="62974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8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RSI</a:t>
            </a:r>
            <a:r>
              <a:rPr lang="en-GB" baseline="0"/>
              <a:t> AAPL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 Q3 RSI'!$A$11:$A$189</c:f>
              <c:numCache>
                <c:formatCode>m/d/yy</c:formatCode>
                <c:ptCount val="179"/>
                <c:pt idx="0">
                  <c:v>45488</c:v>
                </c:pt>
                <c:pt idx="1">
                  <c:v>45489</c:v>
                </c:pt>
                <c:pt idx="2">
                  <c:v>45490</c:v>
                </c:pt>
                <c:pt idx="3">
                  <c:v>45491</c:v>
                </c:pt>
                <c:pt idx="4">
                  <c:v>45492</c:v>
                </c:pt>
                <c:pt idx="5">
                  <c:v>45495</c:v>
                </c:pt>
                <c:pt idx="6">
                  <c:v>45496</c:v>
                </c:pt>
                <c:pt idx="7">
                  <c:v>45497</c:v>
                </c:pt>
                <c:pt idx="8">
                  <c:v>45498</c:v>
                </c:pt>
                <c:pt idx="9">
                  <c:v>45499</c:v>
                </c:pt>
                <c:pt idx="10">
                  <c:v>45502</c:v>
                </c:pt>
                <c:pt idx="11">
                  <c:v>45503</c:v>
                </c:pt>
                <c:pt idx="12">
                  <c:v>45504</c:v>
                </c:pt>
                <c:pt idx="13">
                  <c:v>45505</c:v>
                </c:pt>
                <c:pt idx="14">
                  <c:v>45506</c:v>
                </c:pt>
                <c:pt idx="15">
                  <c:v>45509</c:v>
                </c:pt>
                <c:pt idx="16">
                  <c:v>45510</c:v>
                </c:pt>
                <c:pt idx="17">
                  <c:v>45511</c:v>
                </c:pt>
                <c:pt idx="18">
                  <c:v>45512</c:v>
                </c:pt>
                <c:pt idx="19">
                  <c:v>45513</c:v>
                </c:pt>
                <c:pt idx="20">
                  <c:v>45516</c:v>
                </c:pt>
                <c:pt idx="21">
                  <c:v>45517</c:v>
                </c:pt>
                <c:pt idx="22">
                  <c:v>45518</c:v>
                </c:pt>
                <c:pt idx="23">
                  <c:v>45519</c:v>
                </c:pt>
                <c:pt idx="24">
                  <c:v>45520</c:v>
                </c:pt>
                <c:pt idx="25">
                  <c:v>45523</c:v>
                </c:pt>
                <c:pt idx="26">
                  <c:v>45524</c:v>
                </c:pt>
                <c:pt idx="27">
                  <c:v>45525</c:v>
                </c:pt>
                <c:pt idx="28">
                  <c:v>45526</c:v>
                </c:pt>
                <c:pt idx="29">
                  <c:v>45527</c:v>
                </c:pt>
                <c:pt idx="30">
                  <c:v>45530</c:v>
                </c:pt>
                <c:pt idx="31">
                  <c:v>45531</c:v>
                </c:pt>
                <c:pt idx="32">
                  <c:v>45532</c:v>
                </c:pt>
                <c:pt idx="33">
                  <c:v>45533</c:v>
                </c:pt>
                <c:pt idx="34">
                  <c:v>45534</c:v>
                </c:pt>
                <c:pt idx="35">
                  <c:v>45538</c:v>
                </c:pt>
                <c:pt idx="36">
                  <c:v>45539</c:v>
                </c:pt>
                <c:pt idx="37">
                  <c:v>45540</c:v>
                </c:pt>
                <c:pt idx="38">
                  <c:v>45541</c:v>
                </c:pt>
                <c:pt idx="39">
                  <c:v>45544</c:v>
                </c:pt>
                <c:pt idx="40">
                  <c:v>45545</c:v>
                </c:pt>
                <c:pt idx="41">
                  <c:v>45546</c:v>
                </c:pt>
                <c:pt idx="42">
                  <c:v>45547</c:v>
                </c:pt>
                <c:pt idx="43">
                  <c:v>45548</c:v>
                </c:pt>
                <c:pt idx="44">
                  <c:v>45551</c:v>
                </c:pt>
                <c:pt idx="45">
                  <c:v>45552</c:v>
                </c:pt>
                <c:pt idx="46">
                  <c:v>45553</c:v>
                </c:pt>
                <c:pt idx="47">
                  <c:v>45554</c:v>
                </c:pt>
                <c:pt idx="48">
                  <c:v>45555</c:v>
                </c:pt>
                <c:pt idx="49">
                  <c:v>45558</c:v>
                </c:pt>
                <c:pt idx="50">
                  <c:v>45559</c:v>
                </c:pt>
                <c:pt idx="51">
                  <c:v>45560</c:v>
                </c:pt>
                <c:pt idx="52">
                  <c:v>45561</c:v>
                </c:pt>
                <c:pt idx="53">
                  <c:v>45562</c:v>
                </c:pt>
                <c:pt idx="54">
                  <c:v>45565</c:v>
                </c:pt>
                <c:pt idx="55">
                  <c:v>45566</c:v>
                </c:pt>
                <c:pt idx="56">
                  <c:v>45567</c:v>
                </c:pt>
                <c:pt idx="57">
                  <c:v>45568</c:v>
                </c:pt>
                <c:pt idx="58">
                  <c:v>45569</c:v>
                </c:pt>
                <c:pt idx="59">
                  <c:v>45572</c:v>
                </c:pt>
                <c:pt idx="60">
                  <c:v>45573</c:v>
                </c:pt>
                <c:pt idx="61">
                  <c:v>45574</c:v>
                </c:pt>
                <c:pt idx="62">
                  <c:v>45575</c:v>
                </c:pt>
                <c:pt idx="63">
                  <c:v>45576</c:v>
                </c:pt>
                <c:pt idx="64">
                  <c:v>45579</c:v>
                </c:pt>
                <c:pt idx="65">
                  <c:v>45580</c:v>
                </c:pt>
                <c:pt idx="66">
                  <c:v>45581</c:v>
                </c:pt>
                <c:pt idx="67">
                  <c:v>45582</c:v>
                </c:pt>
                <c:pt idx="68">
                  <c:v>45583</c:v>
                </c:pt>
                <c:pt idx="69">
                  <c:v>45586</c:v>
                </c:pt>
                <c:pt idx="70">
                  <c:v>45587</c:v>
                </c:pt>
                <c:pt idx="71">
                  <c:v>45588</c:v>
                </c:pt>
                <c:pt idx="72">
                  <c:v>45589</c:v>
                </c:pt>
                <c:pt idx="73">
                  <c:v>45590</c:v>
                </c:pt>
                <c:pt idx="74">
                  <c:v>45593</c:v>
                </c:pt>
                <c:pt idx="75">
                  <c:v>45594</c:v>
                </c:pt>
                <c:pt idx="76">
                  <c:v>45595</c:v>
                </c:pt>
                <c:pt idx="77">
                  <c:v>45596</c:v>
                </c:pt>
                <c:pt idx="78">
                  <c:v>45597</c:v>
                </c:pt>
                <c:pt idx="79">
                  <c:v>45600</c:v>
                </c:pt>
                <c:pt idx="80">
                  <c:v>45601</c:v>
                </c:pt>
                <c:pt idx="81">
                  <c:v>45602</c:v>
                </c:pt>
                <c:pt idx="82">
                  <c:v>45603</c:v>
                </c:pt>
                <c:pt idx="83">
                  <c:v>45604</c:v>
                </c:pt>
                <c:pt idx="84">
                  <c:v>45607</c:v>
                </c:pt>
                <c:pt idx="85">
                  <c:v>45608</c:v>
                </c:pt>
                <c:pt idx="86">
                  <c:v>45609</c:v>
                </c:pt>
                <c:pt idx="87">
                  <c:v>45610</c:v>
                </c:pt>
                <c:pt idx="88">
                  <c:v>45611</c:v>
                </c:pt>
                <c:pt idx="89">
                  <c:v>45614</c:v>
                </c:pt>
                <c:pt idx="90">
                  <c:v>45615</c:v>
                </c:pt>
                <c:pt idx="91">
                  <c:v>45616</c:v>
                </c:pt>
                <c:pt idx="92">
                  <c:v>45617</c:v>
                </c:pt>
                <c:pt idx="93">
                  <c:v>45618</c:v>
                </c:pt>
                <c:pt idx="94">
                  <c:v>45621</c:v>
                </c:pt>
                <c:pt idx="95">
                  <c:v>45622</c:v>
                </c:pt>
                <c:pt idx="96">
                  <c:v>45623</c:v>
                </c:pt>
                <c:pt idx="97">
                  <c:v>45625</c:v>
                </c:pt>
                <c:pt idx="98">
                  <c:v>45628</c:v>
                </c:pt>
                <c:pt idx="99">
                  <c:v>45629</c:v>
                </c:pt>
                <c:pt idx="100">
                  <c:v>45630</c:v>
                </c:pt>
                <c:pt idx="101">
                  <c:v>45631</c:v>
                </c:pt>
                <c:pt idx="102">
                  <c:v>45632</c:v>
                </c:pt>
                <c:pt idx="103">
                  <c:v>45635</c:v>
                </c:pt>
                <c:pt idx="104">
                  <c:v>45636</c:v>
                </c:pt>
                <c:pt idx="105">
                  <c:v>45637</c:v>
                </c:pt>
                <c:pt idx="106">
                  <c:v>45638</c:v>
                </c:pt>
                <c:pt idx="107">
                  <c:v>45639</c:v>
                </c:pt>
                <c:pt idx="108">
                  <c:v>45642</c:v>
                </c:pt>
                <c:pt idx="109">
                  <c:v>45643</c:v>
                </c:pt>
                <c:pt idx="110">
                  <c:v>45644</c:v>
                </c:pt>
                <c:pt idx="111">
                  <c:v>45645</c:v>
                </c:pt>
                <c:pt idx="112">
                  <c:v>45646</c:v>
                </c:pt>
                <c:pt idx="113">
                  <c:v>45649</c:v>
                </c:pt>
                <c:pt idx="114">
                  <c:v>45650</c:v>
                </c:pt>
                <c:pt idx="115">
                  <c:v>45652</c:v>
                </c:pt>
                <c:pt idx="116">
                  <c:v>45653</c:v>
                </c:pt>
                <c:pt idx="117">
                  <c:v>45656</c:v>
                </c:pt>
                <c:pt idx="118">
                  <c:v>45657</c:v>
                </c:pt>
                <c:pt idx="119">
                  <c:v>45659</c:v>
                </c:pt>
                <c:pt idx="120">
                  <c:v>45660</c:v>
                </c:pt>
                <c:pt idx="121">
                  <c:v>45663</c:v>
                </c:pt>
                <c:pt idx="122">
                  <c:v>45664</c:v>
                </c:pt>
                <c:pt idx="123">
                  <c:v>45665</c:v>
                </c:pt>
                <c:pt idx="124">
                  <c:v>45667</c:v>
                </c:pt>
                <c:pt idx="125">
                  <c:v>45670</c:v>
                </c:pt>
                <c:pt idx="126">
                  <c:v>45671</c:v>
                </c:pt>
                <c:pt idx="127">
                  <c:v>45672</c:v>
                </c:pt>
                <c:pt idx="128">
                  <c:v>45673</c:v>
                </c:pt>
                <c:pt idx="129">
                  <c:v>45674</c:v>
                </c:pt>
                <c:pt idx="130">
                  <c:v>45678</c:v>
                </c:pt>
                <c:pt idx="131">
                  <c:v>45679</c:v>
                </c:pt>
                <c:pt idx="132">
                  <c:v>45680</c:v>
                </c:pt>
                <c:pt idx="133">
                  <c:v>45681</c:v>
                </c:pt>
                <c:pt idx="134">
                  <c:v>45684</c:v>
                </c:pt>
                <c:pt idx="135">
                  <c:v>45685</c:v>
                </c:pt>
                <c:pt idx="136">
                  <c:v>45686</c:v>
                </c:pt>
                <c:pt idx="137">
                  <c:v>45687</c:v>
                </c:pt>
                <c:pt idx="138">
                  <c:v>45688</c:v>
                </c:pt>
                <c:pt idx="139">
                  <c:v>45691</c:v>
                </c:pt>
                <c:pt idx="140">
                  <c:v>45692</c:v>
                </c:pt>
                <c:pt idx="141">
                  <c:v>45693</c:v>
                </c:pt>
                <c:pt idx="142">
                  <c:v>45694</c:v>
                </c:pt>
                <c:pt idx="143">
                  <c:v>45695</c:v>
                </c:pt>
                <c:pt idx="144">
                  <c:v>45698</c:v>
                </c:pt>
                <c:pt idx="145">
                  <c:v>45699</c:v>
                </c:pt>
                <c:pt idx="146">
                  <c:v>45700</c:v>
                </c:pt>
                <c:pt idx="147">
                  <c:v>45701</c:v>
                </c:pt>
                <c:pt idx="148">
                  <c:v>45702</c:v>
                </c:pt>
                <c:pt idx="149">
                  <c:v>45706</c:v>
                </c:pt>
                <c:pt idx="150">
                  <c:v>45707</c:v>
                </c:pt>
                <c:pt idx="151">
                  <c:v>45708</c:v>
                </c:pt>
                <c:pt idx="152">
                  <c:v>45709</c:v>
                </c:pt>
                <c:pt idx="153">
                  <c:v>45712</c:v>
                </c:pt>
                <c:pt idx="154">
                  <c:v>45713</c:v>
                </c:pt>
                <c:pt idx="155">
                  <c:v>45714</c:v>
                </c:pt>
                <c:pt idx="156">
                  <c:v>45715</c:v>
                </c:pt>
                <c:pt idx="157">
                  <c:v>45716</c:v>
                </c:pt>
                <c:pt idx="158">
                  <c:v>45719</c:v>
                </c:pt>
                <c:pt idx="159">
                  <c:v>45720</c:v>
                </c:pt>
                <c:pt idx="160">
                  <c:v>45721</c:v>
                </c:pt>
                <c:pt idx="161">
                  <c:v>45722</c:v>
                </c:pt>
                <c:pt idx="162">
                  <c:v>45723</c:v>
                </c:pt>
                <c:pt idx="163">
                  <c:v>45726</c:v>
                </c:pt>
                <c:pt idx="164">
                  <c:v>45727</c:v>
                </c:pt>
                <c:pt idx="165">
                  <c:v>45728</c:v>
                </c:pt>
                <c:pt idx="166">
                  <c:v>45729</c:v>
                </c:pt>
                <c:pt idx="167">
                  <c:v>45730</c:v>
                </c:pt>
                <c:pt idx="168">
                  <c:v>45733</c:v>
                </c:pt>
                <c:pt idx="169">
                  <c:v>45734</c:v>
                </c:pt>
                <c:pt idx="170">
                  <c:v>45735</c:v>
                </c:pt>
                <c:pt idx="171">
                  <c:v>45736</c:v>
                </c:pt>
                <c:pt idx="172">
                  <c:v>45737</c:v>
                </c:pt>
                <c:pt idx="173">
                  <c:v>45740</c:v>
                </c:pt>
                <c:pt idx="174">
                  <c:v>45741</c:v>
                </c:pt>
                <c:pt idx="175">
                  <c:v>45742</c:v>
                </c:pt>
                <c:pt idx="176">
                  <c:v>45743</c:v>
                </c:pt>
                <c:pt idx="177">
                  <c:v>45744</c:v>
                </c:pt>
                <c:pt idx="178">
                  <c:v>45747</c:v>
                </c:pt>
              </c:numCache>
            </c:numRef>
          </c:cat>
          <c:val>
            <c:numRef>
              <c:f>' Q3 RSI'!$I$11:$I$189</c:f>
              <c:numCache>
                <c:formatCode>General</c:formatCode>
                <c:ptCount val="179"/>
                <c:pt idx="0">
                  <c:v>80.997541271513882</c:v>
                </c:pt>
                <c:pt idx="1">
                  <c:v>81.273797161647636</c:v>
                </c:pt>
                <c:pt idx="2">
                  <c:v>63.749600766528253</c:v>
                </c:pt>
                <c:pt idx="3">
                  <c:v>53.786351857183995</c:v>
                </c:pt>
                <c:pt idx="4">
                  <c:v>46.624542733621546</c:v>
                </c:pt>
                <c:pt idx="5">
                  <c:v>43.331029716655166</c:v>
                </c:pt>
                <c:pt idx="6">
                  <c:v>43.700652248540983</c:v>
                </c:pt>
                <c:pt idx="7">
                  <c:v>26.932907348242779</c:v>
                </c:pt>
                <c:pt idx="8">
                  <c:v>31.291759465478833</c:v>
                </c:pt>
                <c:pt idx="9">
                  <c:v>24.263502454991794</c:v>
                </c:pt>
                <c:pt idx="10">
                  <c:v>11.265580057526236</c:v>
                </c:pt>
                <c:pt idx="11">
                  <c:v>11.857142857142804</c:v>
                </c:pt>
                <c:pt idx="12">
                  <c:v>31.461286804798249</c:v>
                </c:pt>
                <c:pt idx="13">
                  <c:v>33.237327188940071</c:v>
                </c:pt>
                <c:pt idx="14">
                  <c:v>38.120662039508808</c:v>
                </c:pt>
                <c:pt idx="15">
                  <c:v>24.646185709354484</c:v>
                </c:pt>
                <c:pt idx="16">
                  <c:v>20.327102803738327</c:v>
                </c:pt>
                <c:pt idx="17">
                  <c:v>33.282208588957062</c:v>
                </c:pt>
                <c:pt idx="18">
                  <c:v>42.671809256661987</c:v>
                </c:pt>
                <c:pt idx="19">
                  <c:v>47.224015493867014</c:v>
                </c:pt>
                <c:pt idx="20">
                  <c:v>48.890278211941222</c:v>
                </c:pt>
                <c:pt idx="21">
                  <c:v>53.5115154961615</c:v>
                </c:pt>
                <c:pt idx="22">
                  <c:v>49.443413729127997</c:v>
                </c:pt>
                <c:pt idx="23">
                  <c:v>60.056925996204903</c:v>
                </c:pt>
                <c:pt idx="24">
                  <c:v>59.841017488076297</c:v>
                </c:pt>
                <c:pt idx="25">
                  <c:v>89.533777354899911</c:v>
                </c:pt>
                <c:pt idx="26">
                  <c:v>99.183673469387628</c:v>
                </c:pt>
                <c:pt idx="27">
                  <c:v>98.42289719626163</c:v>
                </c:pt>
                <c:pt idx="28">
                  <c:v>86.193548387096712</c:v>
                </c:pt>
                <c:pt idx="29">
                  <c:v>85.618279569892394</c:v>
                </c:pt>
                <c:pt idx="30">
                  <c:v>84.637473079684071</c:v>
                </c:pt>
                <c:pt idx="31">
                  <c:v>80.615942028985415</c:v>
                </c:pt>
                <c:pt idx="32">
                  <c:v>69.661995053586153</c:v>
                </c:pt>
                <c:pt idx="33">
                  <c:v>70.394207562349123</c:v>
                </c:pt>
                <c:pt idx="34">
                  <c:v>62.405382674516368</c:v>
                </c:pt>
                <c:pt idx="35">
                  <c:v>41.314031180400939</c:v>
                </c:pt>
                <c:pt idx="36">
                  <c:v>35.306334371754915</c:v>
                </c:pt>
                <c:pt idx="37">
                  <c:v>40.280464216634392</c:v>
                </c:pt>
                <c:pt idx="38">
                  <c:v>40.893470790377975</c:v>
                </c:pt>
                <c:pt idx="39">
                  <c:v>33.663911845729999</c:v>
                </c:pt>
                <c:pt idx="40">
                  <c:v>31.004836109618466</c:v>
                </c:pt>
                <c:pt idx="41">
                  <c:v>36.779911373707485</c:v>
                </c:pt>
                <c:pt idx="42">
                  <c:v>40.148305084745743</c:v>
                </c:pt>
                <c:pt idx="43">
                  <c:v>27.003154574132509</c:v>
                </c:pt>
                <c:pt idx="44">
                  <c:v>20.150659133709979</c:v>
                </c:pt>
                <c:pt idx="45">
                  <c:v>30.684754521963796</c:v>
                </c:pt>
                <c:pt idx="46">
                  <c:v>49.54180985108821</c:v>
                </c:pt>
                <c:pt idx="47">
                  <c:v>63.459145582745755</c:v>
                </c:pt>
                <c:pt idx="48">
                  <c:v>65.891472868217022</c:v>
                </c:pt>
                <c:pt idx="49">
                  <c:v>61.18262268704747</c:v>
                </c:pt>
                <c:pt idx="50">
                  <c:v>64.543269230769198</c:v>
                </c:pt>
                <c:pt idx="51">
                  <c:v>57.923964117898329</c:v>
                </c:pt>
                <c:pt idx="52">
                  <c:v>59.713701431492822</c:v>
                </c:pt>
                <c:pt idx="53">
                  <c:v>60.817995910020429</c:v>
                </c:pt>
                <c:pt idx="54">
                  <c:v>85.519591141396916</c:v>
                </c:pt>
                <c:pt idx="55">
                  <c:v>65.805369127516798</c:v>
                </c:pt>
                <c:pt idx="56">
                  <c:v>61.503588968643761</c:v>
                </c:pt>
                <c:pt idx="57">
                  <c:v>41.752577319587587</c:v>
                </c:pt>
                <c:pt idx="58">
                  <c:v>46.475327291037324</c:v>
                </c:pt>
                <c:pt idx="59">
                  <c:v>39.716006884681597</c:v>
                </c:pt>
                <c:pt idx="60">
                  <c:v>46.971990915972768</c:v>
                </c:pt>
                <c:pt idx="61">
                  <c:v>55.429941760876979</c:v>
                </c:pt>
                <c:pt idx="62">
                  <c:v>52.662929222144321</c:v>
                </c:pt>
                <c:pt idx="63">
                  <c:v>49.59677419354842</c:v>
                </c:pt>
                <c:pt idx="64">
                  <c:v>46.996466431095435</c:v>
                </c:pt>
                <c:pt idx="65">
                  <c:v>65.876974231088923</c:v>
                </c:pt>
                <c:pt idx="66">
                  <c:v>59.780907668231613</c:v>
                </c:pt>
                <c:pt idx="67">
                  <c:v>63.053988718775223</c:v>
                </c:pt>
                <c:pt idx="68">
                  <c:v>65.448379804069333</c:v>
                </c:pt>
                <c:pt idx="69">
                  <c:v>82.27848101265829</c:v>
                </c:pt>
                <c:pt idx="70">
                  <c:v>75.938303341902454</c:v>
                </c:pt>
                <c:pt idx="71">
                  <c:v>52.93551491819057</c:v>
                </c:pt>
                <c:pt idx="72">
                  <c:v>53.737176355642418</c:v>
                </c:pt>
                <c:pt idx="73">
                  <c:v>59.737638748738632</c:v>
                </c:pt>
                <c:pt idx="74">
                  <c:v>55.813953488372086</c:v>
                </c:pt>
                <c:pt idx="75">
                  <c:v>49.429657794676785</c:v>
                </c:pt>
                <c:pt idx="76">
                  <c:v>45.138888888888857</c:v>
                </c:pt>
                <c:pt idx="77">
                  <c:v>35.21327014218005</c:v>
                </c:pt>
                <c:pt idx="78">
                  <c:v>21.55294117647054</c:v>
                </c:pt>
                <c:pt idx="79">
                  <c:v>14.99758103531687</c:v>
                </c:pt>
                <c:pt idx="80">
                  <c:v>21.126105165193067</c:v>
                </c:pt>
                <c:pt idx="81">
                  <c:v>26.518691588785032</c:v>
                </c:pt>
                <c:pt idx="82">
                  <c:v>42.876901798063606</c:v>
                </c:pt>
                <c:pt idx="83">
                  <c:v>39.588207767898922</c:v>
                </c:pt>
                <c:pt idx="84">
                  <c:v>29.262777023970969</c:v>
                </c:pt>
                <c:pt idx="85">
                  <c:v>28.388278388278366</c:v>
                </c:pt>
                <c:pt idx="86">
                  <c:v>37.004175365344487</c:v>
                </c:pt>
                <c:pt idx="87">
                  <c:v>56.391809629219708</c:v>
                </c:pt>
                <c:pt idx="88">
                  <c:v>55.71350464734828</c:v>
                </c:pt>
                <c:pt idx="89">
                  <c:v>64.723174914257768</c:v>
                </c:pt>
                <c:pt idx="90">
                  <c:v>62.558502340093639</c:v>
                </c:pt>
                <c:pt idx="91">
                  <c:v>66.337148803329868</c:v>
                </c:pt>
                <c:pt idx="92">
                  <c:v>53.480589022757769</c:v>
                </c:pt>
                <c:pt idx="93">
                  <c:v>59.226379201014574</c:v>
                </c:pt>
                <c:pt idx="94">
                  <c:v>76.932668329177119</c:v>
                </c:pt>
                <c:pt idx="95">
                  <c:v>79.703784969829996</c:v>
                </c:pt>
                <c:pt idx="96">
                  <c:v>78.07670291929027</c:v>
                </c:pt>
                <c:pt idx="97">
                  <c:v>77.161598091830726</c:v>
                </c:pt>
                <c:pt idx="98">
                  <c:v>96.141682479443475</c:v>
                </c:pt>
                <c:pt idx="99">
                  <c:v>96.151419558359706</c:v>
                </c:pt>
                <c:pt idx="100">
                  <c:v>96.175548589341773</c:v>
                </c:pt>
                <c:pt idx="101">
                  <c:v>96.00262123197912</c:v>
                </c:pt>
                <c:pt idx="102">
                  <c:v>97.797062750333879</c:v>
                </c:pt>
                <c:pt idx="103">
                  <c:v>98.118586088939651</c:v>
                </c:pt>
                <c:pt idx="104">
                  <c:v>97.879177377892134</c:v>
                </c:pt>
                <c:pt idx="105">
                  <c:v>89.01023890784991</c:v>
                </c:pt>
                <c:pt idx="106">
                  <c:v>90.744215134459097</c:v>
                </c:pt>
                <c:pt idx="107">
                  <c:v>89.244186046511672</c:v>
                </c:pt>
                <c:pt idx="108">
                  <c:v>89.729354614850848</c:v>
                </c:pt>
                <c:pt idx="109">
                  <c:v>89.267585206671555</c:v>
                </c:pt>
                <c:pt idx="110">
                  <c:v>63.36161187698842</c:v>
                </c:pt>
                <c:pt idx="111">
                  <c:v>66.407389402041858</c:v>
                </c:pt>
                <c:pt idx="112">
                  <c:v>73.234942161946591</c:v>
                </c:pt>
                <c:pt idx="113">
                  <c:v>69.416590701914359</c:v>
                </c:pt>
                <c:pt idx="114">
                  <c:v>71.865828092243206</c:v>
                </c:pt>
                <c:pt idx="115">
                  <c:v>76.784950833689635</c:v>
                </c:pt>
                <c:pt idx="116">
                  <c:v>65.04930966469432</c:v>
                </c:pt>
                <c:pt idx="117">
                  <c:v>57.122856142807137</c:v>
                </c:pt>
                <c:pt idx="118">
                  <c:v>48.87026239067054</c:v>
                </c:pt>
                <c:pt idx="119">
                  <c:v>34.748178650617646</c:v>
                </c:pt>
                <c:pt idx="120">
                  <c:v>41.1941419451746</c:v>
                </c:pt>
                <c:pt idx="121">
                  <c:v>40.972483980399538</c:v>
                </c:pt>
                <c:pt idx="122">
                  <c:v>25.060926076360587</c:v>
                </c:pt>
                <c:pt idx="123">
                  <c:v>24.167694204685432</c:v>
                </c:pt>
                <c:pt idx="124">
                  <c:v>10.825688073394389</c:v>
                </c:pt>
                <c:pt idx="125">
                  <c:v>7.3753462603877153</c:v>
                </c:pt>
                <c:pt idx="126">
                  <c:v>8.0165600301090478</c:v>
                </c:pt>
                <c:pt idx="127">
                  <c:v>24.198775657183972</c:v>
                </c:pt>
                <c:pt idx="128">
                  <c:v>18.876404494381958</c:v>
                </c:pt>
                <c:pt idx="129">
                  <c:v>27.447154471544664</c:v>
                </c:pt>
                <c:pt idx="130">
                  <c:v>22.446808510638235</c:v>
                </c:pt>
                <c:pt idx="131">
                  <c:v>21.507402422611065</c:v>
                </c:pt>
                <c:pt idx="132">
                  <c:v>23.1392991601506</c:v>
                </c:pt>
                <c:pt idx="133">
                  <c:v>21.477663230240594</c:v>
                </c:pt>
                <c:pt idx="134">
                  <c:v>40.331950207468921</c:v>
                </c:pt>
                <c:pt idx="135">
                  <c:v>54.584323040380021</c:v>
                </c:pt>
                <c:pt idx="136">
                  <c:v>57.224334600760457</c:v>
                </c:pt>
                <c:pt idx="137">
                  <c:v>49.643402954661227</c:v>
                </c:pt>
                <c:pt idx="138">
                  <c:v>62.387964148527516</c:v>
                </c:pt>
                <c:pt idx="139">
                  <c:v>47.374033591042398</c:v>
                </c:pt>
                <c:pt idx="140">
                  <c:v>64.530892448512589</c:v>
                </c:pt>
                <c:pt idx="141">
                  <c:v>62.668621700879719</c:v>
                </c:pt>
                <c:pt idx="142">
                  <c:v>63.783160322952689</c:v>
                </c:pt>
                <c:pt idx="143">
                  <c:v>56.156384869256129</c:v>
                </c:pt>
                <c:pt idx="144">
                  <c:v>46.582121868233827</c:v>
                </c:pt>
                <c:pt idx="145">
                  <c:v>40.242214532872026</c:v>
                </c:pt>
                <c:pt idx="146">
                  <c:v>46.115444617784703</c:v>
                </c:pt>
                <c:pt idx="147">
                  <c:v>55.638236977676002</c:v>
                </c:pt>
                <c:pt idx="148">
                  <c:v>61.806699615595804</c:v>
                </c:pt>
                <c:pt idx="149">
                  <c:v>78.816526610644246</c:v>
                </c:pt>
                <c:pt idx="150">
                  <c:v>74.96896979726931</c:v>
                </c:pt>
                <c:pt idx="151">
                  <c:v>76.935483870967758</c:v>
                </c:pt>
                <c:pt idx="152">
                  <c:v>75.339087546239227</c:v>
                </c:pt>
                <c:pt idx="153">
                  <c:v>97.979300147856108</c:v>
                </c:pt>
                <c:pt idx="154">
                  <c:v>97.688145597638965</c:v>
                </c:pt>
                <c:pt idx="155">
                  <c:v>67.558983666061749</c:v>
                </c:pt>
                <c:pt idx="156">
                  <c:v>51.031175059952055</c:v>
                </c:pt>
                <c:pt idx="157">
                  <c:v>50.747708634828754</c:v>
                </c:pt>
                <c:pt idx="158">
                  <c:v>34.699580810433162</c:v>
                </c:pt>
                <c:pt idx="159">
                  <c:v>31.783276450511934</c:v>
                </c:pt>
                <c:pt idx="160">
                  <c:v>30.348687042617286</c:v>
                </c:pt>
                <c:pt idx="161">
                  <c:v>26.851851851851805</c:v>
                </c:pt>
                <c:pt idx="162">
                  <c:v>37.605202754399322</c:v>
                </c:pt>
                <c:pt idx="163">
                  <c:v>22.885572139303434</c:v>
                </c:pt>
                <c:pt idx="164">
                  <c:v>19.363891487371347</c:v>
                </c:pt>
                <c:pt idx="165">
                  <c:v>20.731096644967394</c:v>
                </c:pt>
                <c:pt idx="166">
                  <c:v>18.741511996378421</c:v>
                </c:pt>
                <c:pt idx="167">
                  <c:v>17.376294591484452</c:v>
                </c:pt>
                <c:pt idx="168">
                  <c:v>20.074719800747161</c:v>
                </c:pt>
                <c:pt idx="169">
                  <c:v>20.477642276422728</c:v>
                </c:pt>
                <c:pt idx="170">
                  <c:v>25.431447746883961</c:v>
                </c:pt>
                <c:pt idx="171">
                  <c:v>24.994110718492323</c:v>
                </c:pt>
                <c:pt idx="172">
                  <c:v>25.746268656716452</c:v>
                </c:pt>
                <c:pt idx="173">
                  <c:v>40</c:v>
                </c:pt>
                <c:pt idx="174">
                  <c:v>54.829074012612004</c:v>
                </c:pt>
                <c:pt idx="175">
                  <c:v>57.985257985258002</c:v>
                </c:pt>
                <c:pt idx="176">
                  <c:v>80.136112292641371</c:v>
                </c:pt>
                <c:pt idx="177">
                  <c:v>58.596491228070164</c:v>
                </c:pt>
                <c:pt idx="178">
                  <c:v>63.840653728294164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4-0D48-B565-FB3C71F6D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621328"/>
        <c:axId val="386890384"/>
      </c:lineChart>
      <c:dateAx>
        <c:axId val="38662132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890384"/>
        <c:crosses val="autoZero"/>
        <c:auto val="1"/>
        <c:lblOffset val="100"/>
        <c:baseTimeUnit val="days"/>
      </c:dateAx>
      <c:valAx>
        <c:axId val="3868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62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Bollinger</a:t>
            </a:r>
            <a:r>
              <a:rPr lang="en-GB" baseline="0"/>
              <a:t> bands of AAPL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338180941668005E-2"/>
          <c:y val="9.1242312423124236E-2"/>
          <c:w val="0.95218222722159729"/>
          <c:h val="0.71904446446039261"/>
        </c:manualLayout>
      </c:layout>
      <c:lineChart>
        <c:grouping val="standard"/>
        <c:varyColors val="0"/>
        <c:ser>
          <c:idx val="0"/>
          <c:order val="0"/>
          <c:tx>
            <c:v>AAPL Last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'Q3 BB'!$A$21:$A$189</c:f>
              <c:numCache>
                <c:formatCode>m/d/yy</c:formatCode>
                <c:ptCount val="169"/>
                <c:pt idx="0">
                  <c:v>45502</c:v>
                </c:pt>
                <c:pt idx="1">
                  <c:v>45503</c:v>
                </c:pt>
                <c:pt idx="2">
                  <c:v>45504</c:v>
                </c:pt>
                <c:pt idx="3">
                  <c:v>45505</c:v>
                </c:pt>
                <c:pt idx="4">
                  <c:v>45506</c:v>
                </c:pt>
                <c:pt idx="5">
                  <c:v>45509</c:v>
                </c:pt>
                <c:pt idx="6">
                  <c:v>45510</c:v>
                </c:pt>
                <c:pt idx="7">
                  <c:v>45511</c:v>
                </c:pt>
                <c:pt idx="8">
                  <c:v>45512</c:v>
                </c:pt>
                <c:pt idx="9">
                  <c:v>45513</c:v>
                </c:pt>
                <c:pt idx="10">
                  <c:v>45516</c:v>
                </c:pt>
                <c:pt idx="11">
                  <c:v>45517</c:v>
                </c:pt>
                <c:pt idx="12">
                  <c:v>45518</c:v>
                </c:pt>
                <c:pt idx="13">
                  <c:v>45519</c:v>
                </c:pt>
                <c:pt idx="14">
                  <c:v>45520</c:v>
                </c:pt>
                <c:pt idx="15">
                  <c:v>45523</c:v>
                </c:pt>
                <c:pt idx="16">
                  <c:v>45524</c:v>
                </c:pt>
                <c:pt idx="17">
                  <c:v>45525</c:v>
                </c:pt>
                <c:pt idx="18">
                  <c:v>45526</c:v>
                </c:pt>
                <c:pt idx="19">
                  <c:v>45527</c:v>
                </c:pt>
                <c:pt idx="20">
                  <c:v>45530</c:v>
                </c:pt>
                <c:pt idx="21">
                  <c:v>45531</c:v>
                </c:pt>
                <c:pt idx="22">
                  <c:v>45532</c:v>
                </c:pt>
                <c:pt idx="23">
                  <c:v>45533</c:v>
                </c:pt>
                <c:pt idx="24">
                  <c:v>45534</c:v>
                </c:pt>
                <c:pt idx="25">
                  <c:v>45538</c:v>
                </c:pt>
                <c:pt idx="26">
                  <c:v>45539</c:v>
                </c:pt>
                <c:pt idx="27">
                  <c:v>45540</c:v>
                </c:pt>
                <c:pt idx="28">
                  <c:v>45541</c:v>
                </c:pt>
                <c:pt idx="29">
                  <c:v>45544</c:v>
                </c:pt>
                <c:pt idx="30">
                  <c:v>45545</c:v>
                </c:pt>
                <c:pt idx="31">
                  <c:v>45546</c:v>
                </c:pt>
                <c:pt idx="32">
                  <c:v>45547</c:v>
                </c:pt>
                <c:pt idx="33">
                  <c:v>45548</c:v>
                </c:pt>
                <c:pt idx="34">
                  <c:v>45551</c:v>
                </c:pt>
                <c:pt idx="35">
                  <c:v>45552</c:v>
                </c:pt>
                <c:pt idx="36">
                  <c:v>45553</c:v>
                </c:pt>
                <c:pt idx="37">
                  <c:v>45554</c:v>
                </c:pt>
                <c:pt idx="38">
                  <c:v>45555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45565</c:v>
                </c:pt>
                <c:pt idx="45">
                  <c:v>45566</c:v>
                </c:pt>
                <c:pt idx="46">
                  <c:v>45567</c:v>
                </c:pt>
                <c:pt idx="47">
                  <c:v>45568</c:v>
                </c:pt>
                <c:pt idx="48">
                  <c:v>45569</c:v>
                </c:pt>
                <c:pt idx="49">
                  <c:v>45572</c:v>
                </c:pt>
                <c:pt idx="50">
                  <c:v>45573</c:v>
                </c:pt>
                <c:pt idx="51">
                  <c:v>45574</c:v>
                </c:pt>
                <c:pt idx="52">
                  <c:v>45575</c:v>
                </c:pt>
                <c:pt idx="53">
                  <c:v>45576</c:v>
                </c:pt>
                <c:pt idx="54">
                  <c:v>45579</c:v>
                </c:pt>
                <c:pt idx="55">
                  <c:v>45580</c:v>
                </c:pt>
                <c:pt idx="56">
                  <c:v>45581</c:v>
                </c:pt>
                <c:pt idx="57">
                  <c:v>45582</c:v>
                </c:pt>
                <c:pt idx="58">
                  <c:v>45583</c:v>
                </c:pt>
                <c:pt idx="59">
                  <c:v>45586</c:v>
                </c:pt>
                <c:pt idx="60">
                  <c:v>45587</c:v>
                </c:pt>
                <c:pt idx="61">
                  <c:v>45588</c:v>
                </c:pt>
                <c:pt idx="62">
                  <c:v>45589</c:v>
                </c:pt>
                <c:pt idx="63">
                  <c:v>45590</c:v>
                </c:pt>
                <c:pt idx="64">
                  <c:v>45593</c:v>
                </c:pt>
                <c:pt idx="65">
                  <c:v>45594</c:v>
                </c:pt>
                <c:pt idx="66">
                  <c:v>45595</c:v>
                </c:pt>
                <c:pt idx="67">
                  <c:v>45596</c:v>
                </c:pt>
                <c:pt idx="68">
                  <c:v>45597</c:v>
                </c:pt>
                <c:pt idx="69">
                  <c:v>45600</c:v>
                </c:pt>
                <c:pt idx="70">
                  <c:v>45601</c:v>
                </c:pt>
                <c:pt idx="71">
                  <c:v>45602</c:v>
                </c:pt>
                <c:pt idx="72">
                  <c:v>45603</c:v>
                </c:pt>
                <c:pt idx="73">
                  <c:v>45604</c:v>
                </c:pt>
                <c:pt idx="74">
                  <c:v>45607</c:v>
                </c:pt>
                <c:pt idx="75">
                  <c:v>45608</c:v>
                </c:pt>
                <c:pt idx="76">
                  <c:v>45609</c:v>
                </c:pt>
                <c:pt idx="77">
                  <c:v>45610</c:v>
                </c:pt>
                <c:pt idx="78">
                  <c:v>45611</c:v>
                </c:pt>
                <c:pt idx="79">
                  <c:v>45614</c:v>
                </c:pt>
                <c:pt idx="80">
                  <c:v>45615</c:v>
                </c:pt>
                <c:pt idx="81">
                  <c:v>45616</c:v>
                </c:pt>
                <c:pt idx="82">
                  <c:v>45617</c:v>
                </c:pt>
                <c:pt idx="83">
                  <c:v>45618</c:v>
                </c:pt>
                <c:pt idx="84">
                  <c:v>45621</c:v>
                </c:pt>
                <c:pt idx="85">
                  <c:v>45622</c:v>
                </c:pt>
                <c:pt idx="86">
                  <c:v>45623</c:v>
                </c:pt>
                <c:pt idx="87">
                  <c:v>45625</c:v>
                </c:pt>
                <c:pt idx="88">
                  <c:v>45628</c:v>
                </c:pt>
                <c:pt idx="89">
                  <c:v>45629</c:v>
                </c:pt>
                <c:pt idx="90">
                  <c:v>45630</c:v>
                </c:pt>
                <c:pt idx="91">
                  <c:v>45631</c:v>
                </c:pt>
                <c:pt idx="92">
                  <c:v>45632</c:v>
                </c:pt>
                <c:pt idx="93">
                  <c:v>45635</c:v>
                </c:pt>
                <c:pt idx="94">
                  <c:v>45636</c:v>
                </c:pt>
                <c:pt idx="95">
                  <c:v>45637</c:v>
                </c:pt>
                <c:pt idx="96">
                  <c:v>45638</c:v>
                </c:pt>
                <c:pt idx="97">
                  <c:v>45639</c:v>
                </c:pt>
                <c:pt idx="98">
                  <c:v>45642</c:v>
                </c:pt>
                <c:pt idx="99">
                  <c:v>45643</c:v>
                </c:pt>
                <c:pt idx="100">
                  <c:v>45644</c:v>
                </c:pt>
                <c:pt idx="101">
                  <c:v>45645</c:v>
                </c:pt>
                <c:pt idx="102">
                  <c:v>45646</c:v>
                </c:pt>
                <c:pt idx="103">
                  <c:v>45649</c:v>
                </c:pt>
                <c:pt idx="104">
                  <c:v>45650</c:v>
                </c:pt>
                <c:pt idx="105">
                  <c:v>45652</c:v>
                </c:pt>
                <c:pt idx="106">
                  <c:v>45653</c:v>
                </c:pt>
                <c:pt idx="107">
                  <c:v>45656</c:v>
                </c:pt>
                <c:pt idx="108">
                  <c:v>45657</c:v>
                </c:pt>
                <c:pt idx="109">
                  <c:v>45659</c:v>
                </c:pt>
                <c:pt idx="110">
                  <c:v>45660</c:v>
                </c:pt>
                <c:pt idx="111">
                  <c:v>45663</c:v>
                </c:pt>
                <c:pt idx="112">
                  <c:v>45664</c:v>
                </c:pt>
                <c:pt idx="113">
                  <c:v>45665</c:v>
                </c:pt>
                <c:pt idx="114">
                  <c:v>45667</c:v>
                </c:pt>
                <c:pt idx="115">
                  <c:v>45670</c:v>
                </c:pt>
                <c:pt idx="116">
                  <c:v>45671</c:v>
                </c:pt>
                <c:pt idx="117">
                  <c:v>45672</c:v>
                </c:pt>
                <c:pt idx="118">
                  <c:v>45673</c:v>
                </c:pt>
                <c:pt idx="119">
                  <c:v>45674</c:v>
                </c:pt>
                <c:pt idx="120">
                  <c:v>45678</c:v>
                </c:pt>
                <c:pt idx="121">
                  <c:v>45679</c:v>
                </c:pt>
                <c:pt idx="122">
                  <c:v>45680</c:v>
                </c:pt>
                <c:pt idx="123">
                  <c:v>45681</c:v>
                </c:pt>
                <c:pt idx="124">
                  <c:v>45684</c:v>
                </c:pt>
                <c:pt idx="125">
                  <c:v>45685</c:v>
                </c:pt>
                <c:pt idx="126">
                  <c:v>45686</c:v>
                </c:pt>
                <c:pt idx="127">
                  <c:v>45687</c:v>
                </c:pt>
                <c:pt idx="128">
                  <c:v>45688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45698</c:v>
                </c:pt>
                <c:pt idx="135">
                  <c:v>45699</c:v>
                </c:pt>
                <c:pt idx="136">
                  <c:v>45700</c:v>
                </c:pt>
                <c:pt idx="137">
                  <c:v>45701</c:v>
                </c:pt>
                <c:pt idx="138">
                  <c:v>45702</c:v>
                </c:pt>
                <c:pt idx="139">
                  <c:v>45706</c:v>
                </c:pt>
                <c:pt idx="140">
                  <c:v>45707</c:v>
                </c:pt>
                <c:pt idx="141">
                  <c:v>45708</c:v>
                </c:pt>
                <c:pt idx="142">
                  <c:v>45709</c:v>
                </c:pt>
                <c:pt idx="143">
                  <c:v>45712</c:v>
                </c:pt>
                <c:pt idx="144">
                  <c:v>45713</c:v>
                </c:pt>
                <c:pt idx="145">
                  <c:v>45714</c:v>
                </c:pt>
                <c:pt idx="146">
                  <c:v>45715</c:v>
                </c:pt>
                <c:pt idx="147">
                  <c:v>45716</c:v>
                </c:pt>
                <c:pt idx="148">
                  <c:v>45719</c:v>
                </c:pt>
                <c:pt idx="149">
                  <c:v>45720</c:v>
                </c:pt>
                <c:pt idx="150">
                  <c:v>45721</c:v>
                </c:pt>
                <c:pt idx="151">
                  <c:v>45722</c:v>
                </c:pt>
                <c:pt idx="152">
                  <c:v>45723</c:v>
                </c:pt>
                <c:pt idx="153">
                  <c:v>45726</c:v>
                </c:pt>
                <c:pt idx="154">
                  <c:v>45727</c:v>
                </c:pt>
                <c:pt idx="155">
                  <c:v>45728</c:v>
                </c:pt>
                <c:pt idx="156">
                  <c:v>45729</c:v>
                </c:pt>
                <c:pt idx="157">
                  <c:v>45730</c:v>
                </c:pt>
                <c:pt idx="158">
                  <c:v>45733</c:v>
                </c:pt>
                <c:pt idx="159">
                  <c:v>45734</c:v>
                </c:pt>
                <c:pt idx="160">
                  <c:v>45735</c:v>
                </c:pt>
                <c:pt idx="161">
                  <c:v>45736</c:v>
                </c:pt>
                <c:pt idx="162">
                  <c:v>45737</c:v>
                </c:pt>
                <c:pt idx="163">
                  <c:v>45740</c:v>
                </c:pt>
                <c:pt idx="164">
                  <c:v>45741</c:v>
                </c:pt>
                <c:pt idx="165">
                  <c:v>45742</c:v>
                </c:pt>
                <c:pt idx="166">
                  <c:v>45743</c:v>
                </c:pt>
                <c:pt idx="167">
                  <c:v>45744</c:v>
                </c:pt>
                <c:pt idx="168">
                  <c:v>45747</c:v>
                </c:pt>
              </c:numCache>
            </c:numRef>
          </c:cat>
          <c:val>
            <c:numRef>
              <c:f>'Q3 BB'!$B$21:$B$189</c:f>
              <c:numCache>
                <c:formatCode>General</c:formatCode>
                <c:ptCount val="169"/>
                <c:pt idx="0">
                  <c:v>218.24</c:v>
                </c:pt>
                <c:pt idx="1">
                  <c:v>218.8</c:v>
                </c:pt>
                <c:pt idx="2">
                  <c:v>222.08</c:v>
                </c:pt>
                <c:pt idx="3">
                  <c:v>218.36</c:v>
                </c:pt>
                <c:pt idx="4">
                  <c:v>219.86</c:v>
                </c:pt>
                <c:pt idx="5">
                  <c:v>209.27</c:v>
                </c:pt>
                <c:pt idx="6">
                  <c:v>207.23</c:v>
                </c:pt>
                <c:pt idx="7">
                  <c:v>209.82</c:v>
                </c:pt>
                <c:pt idx="8">
                  <c:v>213.31</c:v>
                </c:pt>
                <c:pt idx="9">
                  <c:v>216.24</c:v>
                </c:pt>
                <c:pt idx="10">
                  <c:v>217.53</c:v>
                </c:pt>
                <c:pt idx="11">
                  <c:v>221.27</c:v>
                </c:pt>
                <c:pt idx="12">
                  <c:v>221.72</c:v>
                </c:pt>
                <c:pt idx="13">
                  <c:v>224.72</c:v>
                </c:pt>
                <c:pt idx="14">
                  <c:v>226.05</c:v>
                </c:pt>
                <c:pt idx="15">
                  <c:v>225.89</c:v>
                </c:pt>
                <c:pt idx="16">
                  <c:v>226.51</c:v>
                </c:pt>
                <c:pt idx="17">
                  <c:v>226.4</c:v>
                </c:pt>
                <c:pt idx="18">
                  <c:v>224.53</c:v>
                </c:pt>
                <c:pt idx="19">
                  <c:v>226.84</c:v>
                </c:pt>
                <c:pt idx="20">
                  <c:v>227.18</c:v>
                </c:pt>
                <c:pt idx="21">
                  <c:v>228.03</c:v>
                </c:pt>
                <c:pt idx="22">
                  <c:v>226.49</c:v>
                </c:pt>
                <c:pt idx="23">
                  <c:v>229.79</c:v>
                </c:pt>
                <c:pt idx="24">
                  <c:v>229</c:v>
                </c:pt>
                <c:pt idx="25">
                  <c:v>222.77</c:v>
                </c:pt>
                <c:pt idx="26">
                  <c:v>220.85</c:v>
                </c:pt>
                <c:pt idx="27">
                  <c:v>222.38</c:v>
                </c:pt>
                <c:pt idx="28">
                  <c:v>220.82</c:v>
                </c:pt>
                <c:pt idx="29">
                  <c:v>220.91</c:v>
                </c:pt>
                <c:pt idx="30">
                  <c:v>220.11</c:v>
                </c:pt>
                <c:pt idx="31">
                  <c:v>222.66</c:v>
                </c:pt>
                <c:pt idx="32">
                  <c:v>222.77</c:v>
                </c:pt>
                <c:pt idx="33">
                  <c:v>222.5</c:v>
                </c:pt>
                <c:pt idx="34">
                  <c:v>216.32</c:v>
                </c:pt>
                <c:pt idx="35">
                  <c:v>216.79</c:v>
                </c:pt>
                <c:pt idx="36">
                  <c:v>220.69</c:v>
                </c:pt>
                <c:pt idx="37">
                  <c:v>228.87</c:v>
                </c:pt>
                <c:pt idx="38">
                  <c:v>228.2</c:v>
                </c:pt>
                <c:pt idx="39">
                  <c:v>226.47</c:v>
                </c:pt>
                <c:pt idx="40">
                  <c:v>227.37</c:v>
                </c:pt>
                <c:pt idx="41">
                  <c:v>226.37</c:v>
                </c:pt>
                <c:pt idx="42">
                  <c:v>227.52</c:v>
                </c:pt>
                <c:pt idx="43">
                  <c:v>227.79</c:v>
                </c:pt>
                <c:pt idx="44">
                  <c:v>233</c:v>
                </c:pt>
                <c:pt idx="45">
                  <c:v>226.21</c:v>
                </c:pt>
                <c:pt idx="46">
                  <c:v>226.78</c:v>
                </c:pt>
                <c:pt idx="47">
                  <c:v>225.67</c:v>
                </c:pt>
                <c:pt idx="48">
                  <c:v>226.8</c:v>
                </c:pt>
                <c:pt idx="49">
                  <c:v>221.69</c:v>
                </c:pt>
                <c:pt idx="50">
                  <c:v>225.77</c:v>
                </c:pt>
                <c:pt idx="51">
                  <c:v>229.54</c:v>
                </c:pt>
                <c:pt idx="52">
                  <c:v>229.04</c:v>
                </c:pt>
                <c:pt idx="53">
                  <c:v>227.55</c:v>
                </c:pt>
                <c:pt idx="54">
                  <c:v>231.3</c:v>
                </c:pt>
                <c:pt idx="55">
                  <c:v>233.85</c:v>
                </c:pt>
                <c:pt idx="56">
                  <c:v>231.78</c:v>
                </c:pt>
                <c:pt idx="57">
                  <c:v>232.15</c:v>
                </c:pt>
                <c:pt idx="58">
                  <c:v>235</c:v>
                </c:pt>
                <c:pt idx="59">
                  <c:v>236.48</c:v>
                </c:pt>
                <c:pt idx="60">
                  <c:v>235.86</c:v>
                </c:pt>
                <c:pt idx="61">
                  <c:v>230.76</c:v>
                </c:pt>
                <c:pt idx="62">
                  <c:v>230.57</c:v>
                </c:pt>
                <c:pt idx="63">
                  <c:v>231.41</c:v>
                </c:pt>
                <c:pt idx="64">
                  <c:v>233.4</c:v>
                </c:pt>
                <c:pt idx="65">
                  <c:v>233.67</c:v>
                </c:pt>
                <c:pt idx="66">
                  <c:v>230.1</c:v>
                </c:pt>
                <c:pt idx="67">
                  <c:v>225.91</c:v>
                </c:pt>
                <c:pt idx="68">
                  <c:v>222.91</c:v>
                </c:pt>
                <c:pt idx="69">
                  <c:v>222.01</c:v>
                </c:pt>
                <c:pt idx="70">
                  <c:v>223.45</c:v>
                </c:pt>
                <c:pt idx="71">
                  <c:v>222.72</c:v>
                </c:pt>
                <c:pt idx="72">
                  <c:v>227.48</c:v>
                </c:pt>
                <c:pt idx="73">
                  <c:v>226.96</c:v>
                </c:pt>
                <c:pt idx="74">
                  <c:v>224.23</c:v>
                </c:pt>
                <c:pt idx="75">
                  <c:v>224.23</c:v>
                </c:pt>
                <c:pt idx="76">
                  <c:v>225.12</c:v>
                </c:pt>
                <c:pt idx="77">
                  <c:v>228.22</c:v>
                </c:pt>
                <c:pt idx="78">
                  <c:v>225</c:v>
                </c:pt>
                <c:pt idx="79">
                  <c:v>228.02</c:v>
                </c:pt>
                <c:pt idx="80">
                  <c:v>228.28</c:v>
                </c:pt>
                <c:pt idx="81">
                  <c:v>229</c:v>
                </c:pt>
                <c:pt idx="82">
                  <c:v>228.52</c:v>
                </c:pt>
                <c:pt idx="83">
                  <c:v>229.87</c:v>
                </c:pt>
                <c:pt idx="84">
                  <c:v>232.87</c:v>
                </c:pt>
                <c:pt idx="85">
                  <c:v>235.06</c:v>
                </c:pt>
                <c:pt idx="86">
                  <c:v>234.93</c:v>
                </c:pt>
                <c:pt idx="87">
                  <c:v>237.33</c:v>
                </c:pt>
                <c:pt idx="88">
                  <c:v>239.59</c:v>
                </c:pt>
                <c:pt idx="89">
                  <c:v>242.65</c:v>
                </c:pt>
                <c:pt idx="90">
                  <c:v>243.01</c:v>
                </c:pt>
                <c:pt idx="91">
                  <c:v>243.04</c:v>
                </c:pt>
                <c:pt idx="92">
                  <c:v>242.84</c:v>
                </c:pt>
                <c:pt idx="93">
                  <c:v>246.75</c:v>
                </c:pt>
                <c:pt idx="94">
                  <c:v>247.77</c:v>
                </c:pt>
                <c:pt idx="95">
                  <c:v>246.49</c:v>
                </c:pt>
                <c:pt idx="96">
                  <c:v>247.96</c:v>
                </c:pt>
                <c:pt idx="97">
                  <c:v>248.13</c:v>
                </c:pt>
                <c:pt idx="98">
                  <c:v>251.04</c:v>
                </c:pt>
                <c:pt idx="99">
                  <c:v>253.48</c:v>
                </c:pt>
                <c:pt idx="100">
                  <c:v>248.05</c:v>
                </c:pt>
                <c:pt idx="101">
                  <c:v>249.79</c:v>
                </c:pt>
                <c:pt idx="102">
                  <c:v>254.49</c:v>
                </c:pt>
                <c:pt idx="103">
                  <c:v>255.27</c:v>
                </c:pt>
                <c:pt idx="104">
                  <c:v>258.2</c:v>
                </c:pt>
                <c:pt idx="105">
                  <c:v>259.02</c:v>
                </c:pt>
                <c:pt idx="106">
                  <c:v>255.59</c:v>
                </c:pt>
                <c:pt idx="107">
                  <c:v>252.2</c:v>
                </c:pt>
                <c:pt idx="108">
                  <c:v>250.42</c:v>
                </c:pt>
                <c:pt idx="109">
                  <c:v>243.85</c:v>
                </c:pt>
                <c:pt idx="110">
                  <c:v>243.36</c:v>
                </c:pt>
                <c:pt idx="111">
                  <c:v>245</c:v>
                </c:pt>
                <c:pt idx="112">
                  <c:v>242.21</c:v>
                </c:pt>
                <c:pt idx="113">
                  <c:v>242.7</c:v>
                </c:pt>
                <c:pt idx="114">
                  <c:v>236.85</c:v>
                </c:pt>
                <c:pt idx="115">
                  <c:v>234.4</c:v>
                </c:pt>
                <c:pt idx="116">
                  <c:v>233.28</c:v>
                </c:pt>
                <c:pt idx="117">
                  <c:v>237.87</c:v>
                </c:pt>
                <c:pt idx="118">
                  <c:v>228.26</c:v>
                </c:pt>
                <c:pt idx="119">
                  <c:v>229.98</c:v>
                </c:pt>
                <c:pt idx="120">
                  <c:v>222.64</c:v>
                </c:pt>
                <c:pt idx="121">
                  <c:v>223.83</c:v>
                </c:pt>
                <c:pt idx="122">
                  <c:v>223.66</c:v>
                </c:pt>
                <c:pt idx="123">
                  <c:v>222.78</c:v>
                </c:pt>
                <c:pt idx="124">
                  <c:v>229.86</c:v>
                </c:pt>
                <c:pt idx="125">
                  <c:v>238.26</c:v>
                </c:pt>
                <c:pt idx="126">
                  <c:v>239.36</c:v>
                </c:pt>
                <c:pt idx="127">
                  <c:v>237.59</c:v>
                </c:pt>
                <c:pt idx="128">
                  <c:v>236</c:v>
                </c:pt>
                <c:pt idx="129">
                  <c:v>228.01</c:v>
                </c:pt>
                <c:pt idx="130">
                  <c:v>232.8</c:v>
                </c:pt>
                <c:pt idx="131">
                  <c:v>232.47</c:v>
                </c:pt>
                <c:pt idx="132">
                  <c:v>233.22</c:v>
                </c:pt>
                <c:pt idx="133">
                  <c:v>227.63</c:v>
                </c:pt>
                <c:pt idx="134">
                  <c:v>227.65</c:v>
                </c:pt>
                <c:pt idx="135">
                  <c:v>232.62</c:v>
                </c:pt>
                <c:pt idx="136">
                  <c:v>236.87</c:v>
                </c:pt>
                <c:pt idx="137">
                  <c:v>241.53</c:v>
                </c:pt>
                <c:pt idx="138">
                  <c:v>244.6</c:v>
                </c:pt>
                <c:pt idx="139">
                  <c:v>244.47</c:v>
                </c:pt>
                <c:pt idx="140">
                  <c:v>244.87</c:v>
                </c:pt>
                <c:pt idx="141">
                  <c:v>245.83</c:v>
                </c:pt>
                <c:pt idx="142">
                  <c:v>245.55</c:v>
                </c:pt>
                <c:pt idx="143">
                  <c:v>247.1</c:v>
                </c:pt>
                <c:pt idx="144">
                  <c:v>247.04</c:v>
                </c:pt>
                <c:pt idx="145">
                  <c:v>240.36</c:v>
                </c:pt>
                <c:pt idx="146">
                  <c:v>237.3</c:v>
                </c:pt>
                <c:pt idx="147">
                  <c:v>241.84</c:v>
                </c:pt>
                <c:pt idx="148">
                  <c:v>238.03</c:v>
                </c:pt>
                <c:pt idx="149">
                  <c:v>235.93</c:v>
                </c:pt>
                <c:pt idx="150">
                  <c:v>235.74</c:v>
                </c:pt>
                <c:pt idx="151">
                  <c:v>235.33</c:v>
                </c:pt>
                <c:pt idx="152">
                  <c:v>239.07</c:v>
                </c:pt>
                <c:pt idx="153">
                  <c:v>227.48</c:v>
                </c:pt>
                <c:pt idx="154">
                  <c:v>220.84</c:v>
                </c:pt>
                <c:pt idx="155">
                  <c:v>216.98</c:v>
                </c:pt>
                <c:pt idx="156">
                  <c:v>209.68</c:v>
                </c:pt>
                <c:pt idx="157">
                  <c:v>213.49</c:v>
                </c:pt>
                <c:pt idx="158">
                  <c:v>214</c:v>
                </c:pt>
                <c:pt idx="159">
                  <c:v>212.69</c:v>
                </c:pt>
                <c:pt idx="160">
                  <c:v>215.24</c:v>
                </c:pt>
                <c:pt idx="161">
                  <c:v>214.1</c:v>
                </c:pt>
                <c:pt idx="162">
                  <c:v>218.27</c:v>
                </c:pt>
                <c:pt idx="163">
                  <c:v>220.73</c:v>
                </c:pt>
                <c:pt idx="164">
                  <c:v>223.75</c:v>
                </c:pt>
                <c:pt idx="165">
                  <c:v>221.53</c:v>
                </c:pt>
                <c:pt idx="166">
                  <c:v>223.85</c:v>
                </c:pt>
                <c:pt idx="167">
                  <c:v>217.9</c:v>
                </c:pt>
                <c:pt idx="168">
                  <c:v>222.13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5E-764D-B0E8-E44FAEB5FEB8}"/>
            </c:ext>
          </c:extLst>
        </c:ser>
        <c:ser>
          <c:idx val="1"/>
          <c:order val="1"/>
          <c:tx>
            <c:v>20 day EMA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'Q3 BB'!$A$21:$A$189</c:f>
              <c:numCache>
                <c:formatCode>m/d/yy</c:formatCode>
                <c:ptCount val="169"/>
                <c:pt idx="0">
                  <c:v>45502</c:v>
                </c:pt>
                <c:pt idx="1">
                  <c:v>45503</c:v>
                </c:pt>
                <c:pt idx="2">
                  <c:v>45504</c:v>
                </c:pt>
                <c:pt idx="3">
                  <c:v>45505</c:v>
                </c:pt>
                <c:pt idx="4">
                  <c:v>45506</c:v>
                </c:pt>
                <c:pt idx="5">
                  <c:v>45509</c:v>
                </c:pt>
                <c:pt idx="6">
                  <c:v>45510</c:v>
                </c:pt>
                <c:pt idx="7">
                  <c:v>45511</c:v>
                </c:pt>
                <c:pt idx="8">
                  <c:v>45512</c:v>
                </c:pt>
                <c:pt idx="9">
                  <c:v>45513</c:v>
                </c:pt>
                <c:pt idx="10">
                  <c:v>45516</c:v>
                </c:pt>
                <c:pt idx="11">
                  <c:v>45517</c:v>
                </c:pt>
                <c:pt idx="12">
                  <c:v>45518</c:v>
                </c:pt>
                <c:pt idx="13">
                  <c:v>45519</c:v>
                </c:pt>
                <c:pt idx="14">
                  <c:v>45520</c:v>
                </c:pt>
                <c:pt idx="15">
                  <c:v>45523</c:v>
                </c:pt>
                <c:pt idx="16">
                  <c:v>45524</c:v>
                </c:pt>
                <c:pt idx="17">
                  <c:v>45525</c:v>
                </c:pt>
                <c:pt idx="18">
                  <c:v>45526</c:v>
                </c:pt>
                <c:pt idx="19">
                  <c:v>45527</c:v>
                </c:pt>
                <c:pt idx="20">
                  <c:v>45530</c:v>
                </c:pt>
                <c:pt idx="21">
                  <c:v>45531</c:v>
                </c:pt>
                <c:pt idx="22">
                  <c:v>45532</c:v>
                </c:pt>
                <c:pt idx="23">
                  <c:v>45533</c:v>
                </c:pt>
                <c:pt idx="24">
                  <c:v>45534</c:v>
                </c:pt>
                <c:pt idx="25">
                  <c:v>45538</c:v>
                </c:pt>
                <c:pt idx="26">
                  <c:v>45539</c:v>
                </c:pt>
                <c:pt idx="27">
                  <c:v>45540</c:v>
                </c:pt>
                <c:pt idx="28">
                  <c:v>45541</c:v>
                </c:pt>
                <c:pt idx="29">
                  <c:v>45544</c:v>
                </c:pt>
                <c:pt idx="30">
                  <c:v>45545</c:v>
                </c:pt>
                <c:pt idx="31">
                  <c:v>45546</c:v>
                </c:pt>
                <c:pt idx="32">
                  <c:v>45547</c:v>
                </c:pt>
                <c:pt idx="33">
                  <c:v>45548</c:v>
                </c:pt>
                <c:pt idx="34">
                  <c:v>45551</c:v>
                </c:pt>
                <c:pt idx="35">
                  <c:v>45552</c:v>
                </c:pt>
                <c:pt idx="36">
                  <c:v>45553</c:v>
                </c:pt>
                <c:pt idx="37">
                  <c:v>45554</c:v>
                </c:pt>
                <c:pt idx="38">
                  <c:v>45555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45565</c:v>
                </c:pt>
                <c:pt idx="45">
                  <c:v>45566</c:v>
                </c:pt>
                <c:pt idx="46">
                  <c:v>45567</c:v>
                </c:pt>
                <c:pt idx="47">
                  <c:v>45568</c:v>
                </c:pt>
                <c:pt idx="48">
                  <c:v>45569</c:v>
                </c:pt>
                <c:pt idx="49">
                  <c:v>45572</c:v>
                </c:pt>
                <c:pt idx="50">
                  <c:v>45573</c:v>
                </c:pt>
                <c:pt idx="51">
                  <c:v>45574</c:v>
                </c:pt>
                <c:pt idx="52">
                  <c:v>45575</c:v>
                </c:pt>
                <c:pt idx="53">
                  <c:v>45576</c:v>
                </c:pt>
                <c:pt idx="54">
                  <c:v>45579</c:v>
                </c:pt>
                <c:pt idx="55">
                  <c:v>45580</c:v>
                </c:pt>
                <c:pt idx="56">
                  <c:v>45581</c:v>
                </c:pt>
                <c:pt idx="57">
                  <c:v>45582</c:v>
                </c:pt>
                <c:pt idx="58">
                  <c:v>45583</c:v>
                </c:pt>
                <c:pt idx="59">
                  <c:v>45586</c:v>
                </c:pt>
                <c:pt idx="60">
                  <c:v>45587</c:v>
                </c:pt>
                <c:pt idx="61">
                  <c:v>45588</c:v>
                </c:pt>
                <c:pt idx="62">
                  <c:v>45589</c:v>
                </c:pt>
                <c:pt idx="63">
                  <c:v>45590</c:v>
                </c:pt>
                <c:pt idx="64">
                  <c:v>45593</c:v>
                </c:pt>
                <c:pt idx="65">
                  <c:v>45594</c:v>
                </c:pt>
                <c:pt idx="66">
                  <c:v>45595</c:v>
                </c:pt>
                <c:pt idx="67">
                  <c:v>45596</c:v>
                </c:pt>
                <c:pt idx="68">
                  <c:v>45597</c:v>
                </c:pt>
                <c:pt idx="69">
                  <c:v>45600</c:v>
                </c:pt>
                <c:pt idx="70">
                  <c:v>45601</c:v>
                </c:pt>
                <c:pt idx="71">
                  <c:v>45602</c:v>
                </c:pt>
                <c:pt idx="72">
                  <c:v>45603</c:v>
                </c:pt>
                <c:pt idx="73">
                  <c:v>45604</c:v>
                </c:pt>
                <c:pt idx="74">
                  <c:v>45607</c:v>
                </c:pt>
                <c:pt idx="75">
                  <c:v>45608</c:v>
                </c:pt>
                <c:pt idx="76">
                  <c:v>45609</c:v>
                </c:pt>
                <c:pt idx="77">
                  <c:v>45610</c:v>
                </c:pt>
                <c:pt idx="78">
                  <c:v>45611</c:v>
                </c:pt>
                <c:pt idx="79">
                  <c:v>45614</c:v>
                </c:pt>
                <c:pt idx="80">
                  <c:v>45615</c:v>
                </c:pt>
                <c:pt idx="81">
                  <c:v>45616</c:v>
                </c:pt>
                <c:pt idx="82">
                  <c:v>45617</c:v>
                </c:pt>
                <c:pt idx="83">
                  <c:v>45618</c:v>
                </c:pt>
                <c:pt idx="84">
                  <c:v>45621</c:v>
                </c:pt>
                <c:pt idx="85">
                  <c:v>45622</c:v>
                </c:pt>
                <c:pt idx="86">
                  <c:v>45623</c:v>
                </c:pt>
                <c:pt idx="87">
                  <c:v>45625</c:v>
                </c:pt>
                <c:pt idx="88">
                  <c:v>45628</c:v>
                </c:pt>
                <c:pt idx="89">
                  <c:v>45629</c:v>
                </c:pt>
                <c:pt idx="90">
                  <c:v>45630</c:v>
                </c:pt>
                <c:pt idx="91">
                  <c:v>45631</c:v>
                </c:pt>
                <c:pt idx="92">
                  <c:v>45632</c:v>
                </c:pt>
                <c:pt idx="93">
                  <c:v>45635</c:v>
                </c:pt>
                <c:pt idx="94">
                  <c:v>45636</c:v>
                </c:pt>
                <c:pt idx="95">
                  <c:v>45637</c:v>
                </c:pt>
                <c:pt idx="96">
                  <c:v>45638</c:v>
                </c:pt>
                <c:pt idx="97">
                  <c:v>45639</c:v>
                </c:pt>
                <c:pt idx="98">
                  <c:v>45642</c:v>
                </c:pt>
                <c:pt idx="99">
                  <c:v>45643</c:v>
                </c:pt>
                <c:pt idx="100">
                  <c:v>45644</c:v>
                </c:pt>
                <c:pt idx="101">
                  <c:v>45645</c:v>
                </c:pt>
                <c:pt idx="102">
                  <c:v>45646</c:v>
                </c:pt>
                <c:pt idx="103">
                  <c:v>45649</c:v>
                </c:pt>
                <c:pt idx="104">
                  <c:v>45650</c:v>
                </c:pt>
                <c:pt idx="105">
                  <c:v>45652</c:v>
                </c:pt>
                <c:pt idx="106">
                  <c:v>45653</c:v>
                </c:pt>
                <c:pt idx="107">
                  <c:v>45656</c:v>
                </c:pt>
                <c:pt idx="108">
                  <c:v>45657</c:v>
                </c:pt>
                <c:pt idx="109">
                  <c:v>45659</c:v>
                </c:pt>
                <c:pt idx="110">
                  <c:v>45660</c:v>
                </c:pt>
                <c:pt idx="111">
                  <c:v>45663</c:v>
                </c:pt>
                <c:pt idx="112">
                  <c:v>45664</c:v>
                </c:pt>
                <c:pt idx="113">
                  <c:v>45665</c:v>
                </c:pt>
                <c:pt idx="114">
                  <c:v>45667</c:v>
                </c:pt>
                <c:pt idx="115">
                  <c:v>45670</c:v>
                </c:pt>
                <c:pt idx="116">
                  <c:v>45671</c:v>
                </c:pt>
                <c:pt idx="117">
                  <c:v>45672</c:v>
                </c:pt>
                <c:pt idx="118">
                  <c:v>45673</c:v>
                </c:pt>
                <c:pt idx="119">
                  <c:v>45674</c:v>
                </c:pt>
                <c:pt idx="120">
                  <c:v>45678</c:v>
                </c:pt>
                <c:pt idx="121">
                  <c:v>45679</c:v>
                </c:pt>
                <c:pt idx="122">
                  <c:v>45680</c:v>
                </c:pt>
                <c:pt idx="123">
                  <c:v>45681</c:v>
                </c:pt>
                <c:pt idx="124">
                  <c:v>45684</c:v>
                </c:pt>
                <c:pt idx="125">
                  <c:v>45685</c:v>
                </c:pt>
                <c:pt idx="126">
                  <c:v>45686</c:v>
                </c:pt>
                <c:pt idx="127">
                  <c:v>45687</c:v>
                </c:pt>
                <c:pt idx="128">
                  <c:v>45688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45698</c:v>
                </c:pt>
                <c:pt idx="135">
                  <c:v>45699</c:v>
                </c:pt>
                <c:pt idx="136">
                  <c:v>45700</c:v>
                </c:pt>
                <c:pt idx="137">
                  <c:v>45701</c:v>
                </c:pt>
                <c:pt idx="138">
                  <c:v>45702</c:v>
                </c:pt>
                <c:pt idx="139">
                  <c:v>45706</c:v>
                </c:pt>
                <c:pt idx="140">
                  <c:v>45707</c:v>
                </c:pt>
                <c:pt idx="141">
                  <c:v>45708</c:v>
                </c:pt>
                <c:pt idx="142">
                  <c:v>45709</c:v>
                </c:pt>
                <c:pt idx="143">
                  <c:v>45712</c:v>
                </c:pt>
                <c:pt idx="144">
                  <c:v>45713</c:v>
                </c:pt>
                <c:pt idx="145">
                  <c:v>45714</c:v>
                </c:pt>
                <c:pt idx="146">
                  <c:v>45715</c:v>
                </c:pt>
                <c:pt idx="147">
                  <c:v>45716</c:v>
                </c:pt>
                <c:pt idx="148">
                  <c:v>45719</c:v>
                </c:pt>
                <c:pt idx="149">
                  <c:v>45720</c:v>
                </c:pt>
                <c:pt idx="150">
                  <c:v>45721</c:v>
                </c:pt>
                <c:pt idx="151">
                  <c:v>45722</c:v>
                </c:pt>
                <c:pt idx="152">
                  <c:v>45723</c:v>
                </c:pt>
                <c:pt idx="153">
                  <c:v>45726</c:v>
                </c:pt>
                <c:pt idx="154">
                  <c:v>45727</c:v>
                </c:pt>
                <c:pt idx="155">
                  <c:v>45728</c:v>
                </c:pt>
                <c:pt idx="156">
                  <c:v>45729</c:v>
                </c:pt>
                <c:pt idx="157">
                  <c:v>45730</c:v>
                </c:pt>
                <c:pt idx="158">
                  <c:v>45733</c:v>
                </c:pt>
                <c:pt idx="159">
                  <c:v>45734</c:v>
                </c:pt>
                <c:pt idx="160">
                  <c:v>45735</c:v>
                </c:pt>
                <c:pt idx="161">
                  <c:v>45736</c:v>
                </c:pt>
                <c:pt idx="162">
                  <c:v>45737</c:v>
                </c:pt>
                <c:pt idx="163">
                  <c:v>45740</c:v>
                </c:pt>
                <c:pt idx="164">
                  <c:v>45741</c:v>
                </c:pt>
                <c:pt idx="165">
                  <c:v>45742</c:v>
                </c:pt>
                <c:pt idx="166">
                  <c:v>45743</c:v>
                </c:pt>
                <c:pt idx="167">
                  <c:v>45744</c:v>
                </c:pt>
                <c:pt idx="168">
                  <c:v>45747</c:v>
                </c:pt>
              </c:numCache>
            </c:numRef>
          </c:cat>
          <c:val>
            <c:numRef>
              <c:f>'Q3 BB'!$C$21:$C$189</c:f>
              <c:numCache>
                <c:formatCode>General</c:formatCode>
                <c:ptCount val="169"/>
                <c:pt idx="0">
                  <c:v>225.0145</c:v>
                </c:pt>
                <c:pt idx="1">
                  <c:v>225.11700000000002</c:v>
                </c:pt>
                <c:pt idx="2">
                  <c:v>225.20749999999998</c:v>
                </c:pt>
                <c:pt idx="3">
                  <c:v>225.04799999999994</c:v>
                </c:pt>
                <c:pt idx="4">
                  <c:v>224.72399999999993</c:v>
                </c:pt>
                <c:pt idx="5">
                  <c:v>223.79650000000001</c:v>
                </c:pt>
                <c:pt idx="6">
                  <c:v>222.72399999999999</c:v>
                </c:pt>
                <c:pt idx="7">
                  <c:v>221.56599999999997</c:v>
                </c:pt>
                <c:pt idx="8">
                  <c:v>220.85300000000001</c:v>
                </c:pt>
                <c:pt idx="9">
                  <c:v>220.13800000000001</c:v>
                </c:pt>
                <c:pt idx="10">
                  <c:v>219.29450000000003</c:v>
                </c:pt>
                <c:pt idx="11">
                  <c:v>218.61700000000005</c:v>
                </c:pt>
                <c:pt idx="12">
                  <c:v>218.25900000000007</c:v>
                </c:pt>
                <c:pt idx="13">
                  <c:v>218.28600000000006</c:v>
                </c:pt>
                <c:pt idx="14">
                  <c:v>218.37299999999999</c:v>
                </c:pt>
                <c:pt idx="15">
                  <c:v>218.46950000000001</c:v>
                </c:pt>
                <c:pt idx="16">
                  <c:v>218.54450000000003</c:v>
                </c:pt>
                <c:pt idx="17">
                  <c:v>218.93749999999994</c:v>
                </c:pt>
                <c:pt idx="18">
                  <c:v>219.28949999999995</c:v>
                </c:pt>
                <c:pt idx="19">
                  <c:v>219.73349999999999</c:v>
                </c:pt>
                <c:pt idx="20">
                  <c:v>220.18050000000002</c:v>
                </c:pt>
                <c:pt idx="21">
                  <c:v>220.642</c:v>
                </c:pt>
                <c:pt idx="22">
                  <c:v>220.86250000000001</c:v>
                </c:pt>
                <c:pt idx="23">
                  <c:v>221.43400000000003</c:v>
                </c:pt>
                <c:pt idx="24">
                  <c:v>221.89099999999999</c:v>
                </c:pt>
                <c:pt idx="25">
                  <c:v>222.56600000000003</c:v>
                </c:pt>
                <c:pt idx="26">
                  <c:v>223.24700000000007</c:v>
                </c:pt>
                <c:pt idx="27">
                  <c:v>223.875</c:v>
                </c:pt>
                <c:pt idx="28">
                  <c:v>224.25050000000002</c:v>
                </c:pt>
                <c:pt idx="29">
                  <c:v>224.48399999999998</c:v>
                </c:pt>
                <c:pt idx="30">
                  <c:v>224.613</c:v>
                </c:pt>
                <c:pt idx="31">
                  <c:v>224.68249999999998</c:v>
                </c:pt>
                <c:pt idx="32">
                  <c:v>224.73500000000004</c:v>
                </c:pt>
                <c:pt idx="33">
                  <c:v>224.62400000000002</c:v>
                </c:pt>
                <c:pt idx="34">
                  <c:v>224.13749999999999</c:v>
                </c:pt>
                <c:pt idx="35">
                  <c:v>223.68249999999998</c:v>
                </c:pt>
                <c:pt idx="36">
                  <c:v>223.39150000000001</c:v>
                </c:pt>
                <c:pt idx="37">
                  <c:v>223.51499999999996</c:v>
                </c:pt>
                <c:pt idx="38">
                  <c:v>223.69850000000002</c:v>
                </c:pt>
                <c:pt idx="39">
                  <c:v>223.68</c:v>
                </c:pt>
                <c:pt idx="40">
                  <c:v>223.68950000000001</c:v>
                </c:pt>
                <c:pt idx="41">
                  <c:v>223.60649999999995</c:v>
                </c:pt>
                <c:pt idx="42">
                  <c:v>223.65800000000004</c:v>
                </c:pt>
                <c:pt idx="43">
                  <c:v>223.55799999999999</c:v>
                </c:pt>
                <c:pt idx="44">
                  <c:v>223.75799999999998</c:v>
                </c:pt>
                <c:pt idx="45">
                  <c:v>223.92999999999998</c:v>
                </c:pt>
                <c:pt idx="46">
                  <c:v>224.22649999999993</c:v>
                </c:pt>
                <c:pt idx="47">
                  <c:v>224.39099999999999</c:v>
                </c:pt>
                <c:pt idx="48">
                  <c:v>224.68999999999997</c:v>
                </c:pt>
                <c:pt idx="49">
                  <c:v>224.72899999999998</c:v>
                </c:pt>
                <c:pt idx="50">
                  <c:v>225.01200000000003</c:v>
                </c:pt>
                <c:pt idx="51">
                  <c:v>225.35600000000005</c:v>
                </c:pt>
                <c:pt idx="52">
                  <c:v>225.66950000000003</c:v>
                </c:pt>
                <c:pt idx="53">
                  <c:v>225.92200000000003</c:v>
                </c:pt>
                <c:pt idx="54">
                  <c:v>226.67099999999999</c:v>
                </c:pt>
                <c:pt idx="55">
                  <c:v>227.52400000000003</c:v>
                </c:pt>
                <c:pt idx="56">
                  <c:v>228.07850000000002</c:v>
                </c:pt>
                <c:pt idx="57">
                  <c:v>228.24250000000001</c:v>
                </c:pt>
                <c:pt idx="58">
                  <c:v>228.58249999999998</c:v>
                </c:pt>
                <c:pt idx="59">
                  <c:v>229.083</c:v>
                </c:pt>
                <c:pt idx="60">
                  <c:v>229.50749999999999</c:v>
                </c:pt>
                <c:pt idx="61">
                  <c:v>229.727</c:v>
                </c:pt>
                <c:pt idx="62">
                  <c:v>229.87950000000001</c:v>
                </c:pt>
                <c:pt idx="63">
                  <c:v>230.06049999999999</c:v>
                </c:pt>
                <c:pt idx="64">
                  <c:v>230.08049999999997</c:v>
                </c:pt>
                <c:pt idx="65">
                  <c:v>230.45350000000002</c:v>
                </c:pt>
                <c:pt idx="66">
                  <c:v>230.61950000000007</c:v>
                </c:pt>
                <c:pt idx="67">
                  <c:v>230.63150000000002</c:v>
                </c:pt>
                <c:pt idx="68">
                  <c:v>230.43699999999998</c:v>
                </c:pt>
                <c:pt idx="69">
                  <c:v>230.45300000000003</c:v>
                </c:pt>
                <c:pt idx="70">
                  <c:v>230.33700000000005</c:v>
                </c:pt>
                <c:pt idx="71">
                  <c:v>229.99600000000001</c:v>
                </c:pt>
                <c:pt idx="72">
                  <c:v>229.91799999999998</c:v>
                </c:pt>
                <c:pt idx="73">
                  <c:v>229.88849999999996</c:v>
                </c:pt>
                <c:pt idx="74">
                  <c:v>229.53499999999994</c:v>
                </c:pt>
                <c:pt idx="75">
                  <c:v>229.05399999999992</c:v>
                </c:pt>
                <c:pt idx="76">
                  <c:v>228.72099999999992</c:v>
                </c:pt>
                <c:pt idx="77">
                  <c:v>228.52449999999999</c:v>
                </c:pt>
                <c:pt idx="78">
                  <c:v>228.02449999999999</c:v>
                </c:pt>
                <c:pt idx="79">
                  <c:v>227.60150000000004</c:v>
                </c:pt>
                <c:pt idx="80">
                  <c:v>227.22249999999994</c:v>
                </c:pt>
                <c:pt idx="81">
                  <c:v>227.13449999999997</c:v>
                </c:pt>
                <c:pt idx="82">
                  <c:v>227.03200000000001</c:v>
                </c:pt>
                <c:pt idx="83">
                  <c:v>226.95500000000001</c:v>
                </c:pt>
                <c:pt idx="84">
                  <c:v>226.92849999999999</c:v>
                </c:pt>
                <c:pt idx="85">
                  <c:v>226.99799999999999</c:v>
                </c:pt>
                <c:pt idx="86">
                  <c:v>227.23949999999999</c:v>
                </c:pt>
                <c:pt idx="87">
                  <c:v>227.81049999999999</c:v>
                </c:pt>
                <c:pt idx="88">
                  <c:v>228.64450000000002</c:v>
                </c:pt>
                <c:pt idx="89">
                  <c:v>229.67649999999998</c:v>
                </c:pt>
                <c:pt idx="90">
                  <c:v>230.65449999999996</c:v>
                </c:pt>
                <c:pt idx="91">
                  <c:v>231.6705</c:v>
                </c:pt>
                <c:pt idx="92">
                  <c:v>232.43849999999998</c:v>
                </c:pt>
                <c:pt idx="93">
                  <c:v>233.42799999999997</c:v>
                </c:pt>
                <c:pt idx="94">
                  <c:v>234.60500000000002</c:v>
                </c:pt>
                <c:pt idx="95">
                  <c:v>235.71800000000002</c:v>
                </c:pt>
                <c:pt idx="96">
                  <c:v>236.85999999999999</c:v>
                </c:pt>
                <c:pt idx="97">
                  <c:v>237.85550000000003</c:v>
                </c:pt>
                <c:pt idx="98">
                  <c:v>239.15750000000003</c:v>
                </c:pt>
                <c:pt idx="99">
                  <c:v>240.43049999999999</c:v>
                </c:pt>
                <c:pt idx="100">
                  <c:v>241.41900000000001</c:v>
                </c:pt>
                <c:pt idx="101">
                  <c:v>242.45850000000002</c:v>
                </c:pt>
                <c:pt idx="102">
                  <c:v>243.75699999999998</c:v>
                </c:pt>
                <c:pt idx="103">
                  <c:v>245.02699999999999</c:v>
                </c:pt>
                <c:pt idx="104">
                  <c:v>246.29350000000005</c:v>
                </c:pt>
                <c:pt idx="105">
                  <c:v>247.4915</c:v>
                </c:pt>
                <c:pt idx="106">
                  <c:v>248.52450000000007</c:v>
                </c:pt>
                <c:pt idx="107">
                  <c:v>249.26799999999997</c:v>
                </c:pt>
                <c:pt idx="108">
                  <c:v>249.80949999999999</c:v>
                </c:pt>
                <c:pt idx="109">
                  <c:v>249.86950000000002</c:v>
                </c:pt>
                <c:pt idx="110">
                  <c:v>249.887</c:v>
                </c:pt>
                <c:pt idx="111">
                  <c:v>249.98499999999999</c:v>
                </c:pt>
                <c:pt idx="112">
                  <c:v>249.95349999999999</c:v>
                </c:pt>
                <c:pt idx="113">
                  <c:v>249.75099999999998</c:v>
                </c:pt>
                <c:pt idx="114">
                  <c:v>249.20500000000001</c:v>
                </c:pt>
                <c:pt idx="115">
                  <c:v>248.60049999999995</c:v>
                </c:pt>
                <c:pt idx="116">
                  <c:v>247.8665</c:v>
                </c:pt>
                <c:pt idx="117">
                  <c:v>247.35349999999994</c:v>
                </c:pt>
                <c:pt idx="118">
                  <c:v>246.21449999999996</c:v>
                </c:pt>
                <c:pt idx="119">
                  <c:v>245.03949999999995</c:v>
                </c:pt>
                <c:pt idx="120">
                  <c:v>243.76900000000001</c:v>
                </c:pt>
                <c:pt idx="121">
                  <c:v>242.471</c:v>
                </c:pt>
                <c:pt idx="122">
                  <c:v>240.92949999999996</c:v>
                </c:pt>
                <c:pt idx="123">
                  <c:v>239.30499999999998</c:v>
                </c:pt>
                <c:pt idx="124">
                  <c:v>237.88799999999998</c:v>
                </c:pt>
                <c:pt idx="125">
                  <c:v>236.85</c:v>
                </c:pt>
                <c:pt idx="126">
                  <c:v>236.03849999999997</c:v>
                </c:pt>
                <c:pt idx="127">
                  <c:v>235.30799999999999</c:v>
                </c:pt>
                <c:pt idx="128">
                  <c:v>234.58699999999999</c:v>
                </c:pt>
                <c:pt idx="129">
                  <c:v>233.79500000000002</c:v>
                </c:pt>
                <c:pt idx="130">
                  <c:v>233.26700000000005</c:v>
                </c:pt>
                <c:pt idx="131">
                  <c:v>232.64050000000003</c:v>
                </c:pt>
                <c:pt idx="132">
                  <c:v>232.19100000000003</c:v>
                </c:pt>
                <c:pt idx="133">
                  <c:v>231.43750000000006</c:v>
                </c:pt>
                <c:pt idx="134">
                  <c:v>230.97749999999996</c:v>
                </c:pt>
                <c:pt idx="135">
                  <c:v>230.88849999999996</c:v>
                </c:pt>
                <c:pt idx="136">
                  <c:v>231.06799999999998</c:v>
                </c:pt>
                <c:pt idx="137">
                  <c:v>231.25100000000003</c:v>
                </c:pt>
                <c:pt idx="138">
                  <c:v>232.06800000000004</c:v>
                </c:pt>
                <c:pt idx="139">
                  <c:v>232.79250000000002</c:v>
                </c:pt>
                <c:pt idx="140">
                  <c:v>233.904</c:v>
                </c:pt>
                <c:pt idx="141">
                  <c:v>235.00399999999999</c:v>
                </c:pt>
                <c:pt idx="142">
                  <c:v>236.09849999999997</c:v>
                </c:pt>
                <c:pt idx="143">
                  <c:v>237.31450000000004</c:v>
                </c:pt>
                <c:pt idx="144">
                  <c:v>238.17350000000002</c:v>
                </c:pt>
                <c:pt idx="145">
                  <c:v>238.27849999999998</c:v>
                </c:pt>
                <c:pt idx="146">
                  <c:v>238.1755</c:v>
                </c:pt>
                <c:pt idx="147">
                  <c:v>238.38800000000001</c:v>
                </c:pt>
                <c:pt idx="148">
                  <c:v>238.48949999999999</c:v>
                </c:pt>
                <c:pt idx="149">
                  <c:v>238.88550000000001</c:v>
                </c:pt>
                <c:pt idx="150">
                  <c:v>239.03250000000003</c:v>
                </c:pt>
                <c:pt idx="151">
                  <c:v>239.1755</c:v>
                </c:pt>
                <c:pt idx="152">
                  <c:v>239.46799999999999</c:v>
                </c:pt>
                <c:pt idx="153">
                  <c:v>239.4605</c:v>
                </c:pt>
                <c:pt idx="154">
                  <c:v>239.11999999999998</c:v>
                </c:pt>
                <c:pt idx="155">
                  <c:v>238.33799999999997</c:v>
                </c:pt>
                <c:pt idx="156">
                  <c:v>236.97850000000003</c:v>
                </c:pt>
                <c:pt idx="157">
                  <c:v>235.57650000000004</c:v>
                </c:pt>
                <c:pt idx="158">
                  <c:v>234.04649999999998</c:v>
                </c:pt>
                <c:pt idx="159">
                  <c:v>232.45749999999998</c:v>
                </c:pt>
                <c:pt idx="160">
                  <c:v>230.97599999999997</c:v>
                </c:pt>
                <c:pt idx="161">
                  <c:v>229.3895</c:v>
                </c:pt>
                <c:pt idx="162">
                  <c:v>228.02550000000005</c:v>
                </c:pt>
                <c:pt idx="163">
                  <c:v>226.70700000000002</c:v>
                </c:pt>
                <c:pt idx="164">
                  <c:v>225.54249999999996</c:v>
                </c:pt>
                <c:pt idx="165">
                  <c:v>224.60099999999997</c:v>
                </c:pt>
                <c:pt idx="166">
                  <c:v>223.92850000000004</c:v>
                </c:pt>
                <c:pt idx="167">
                  <c:v>222.73150000000001</c:v>
                </c:pt>
                <c:pt idx="168">
                  <c:v>221.93650000000002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5E-764D-B0E8-E44FAEB5FEB8}"/>
            </c:ext>
          </c:extLst>
        </c:ser>
        <c:ser>
          <c:idx val="2"/>
          <c:order val="2"/>
          <c:tx>
            <c:v>Upper band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'Q3 BB'!$A$21:$A$189</c:f>
              <c:numCache>
                <c:formatCode>m/d/yy</c:formatCode>
                <c:ptCount val="169"/>
                <c:pt idx="0">
                  <c:v>45502</c:v>
                </c:pt>
                <c:pt idx="1">
                  <c:v>45503</c:v>
                </c:pt>
                <c:pt idx="2">
                  <c:v>45504</c:v>
                </c:pt>
                <c:pt idx="3">
                  <c:v>45505</c:v>
                </c:pt>
                <c:pt idx="4">
                  <c:v>45506</c:v>
                </c:pt>
                <c:pt idx="5">
                  <c:v>45509</c:v>
                </c:pt>
                <c:pt idx="6">
                  <c:v>45510</c:v>
                </c:pt>
                <c:pt idx="7">
                  <c:v>45511</c:v>
                </c:pt>
                <c:pt idx="8">
                  <c:v>45512</c:v>
                </c:pt>
                <c:pt idx="9">
                  <c:v>45513</c:v>
                </c:pt>
                <c:pt idx="10">
                  <c:v>45516</c:v>
                </c:pt>
                <c:pt idx="11">
                  <c:v>45517</c:v>
                </c:pt>
                <c:pt idx="12">
                  <c:v>45518</c:v>
                </c:pt>
                <c:pt idx="13">
                  <c:v>45519</c:v>
                </c:pt>
                <c:pt idx="14">
                  <c:v>45520</c:v>
                </c:pt>
                <c:pt idx="15">
                  <c:v>45523</c:v>
                </c:pt>
                <c:pt idx="16">
                  <c:v>45524</c:v>
                </c:pt>
                <c:pt idx="17">
                  <c:v>45525</c:v>
                </c:pt>
                <c:pt idx="18">
                  <c:v>45526</c:v>
                </c:pt>
                <c:pt idx="19">
                  <c:v>45527</c:v>
                </c:pt>
                <c:pt idx="20">
                  <c:v>45530</c:v>
                </c:pt>
                <c:pt idx="21">
                  <c:v>45531</c:v>
                </c:pt>
                <c:pt idx="22">
                  <c:v>45532</c:v>
                </c:pt>
                <c:pt idx="23">
                  <c:v>45533</c:v>
                </c:pt>
                <c:pt idx="24">
                  <c:v>45534</c:v>
                </c:pt>
                <c:pt idx="25">
                  <c:v>45538</c:v>
                </c:pt>
                <c:pt idx="26">
                  <c:v>45539</c:v>
                </c:pt>
                <c:pt idx="27">
                  <c:v>45540</c:v>
                </c:pt>
                <c:pt idx="28">
                  <c:v>45541</c:v>
                </c:pt>
                <c:pt idx="29">
                  <c:v>45544</c:v>
                </c:pt>
                <c:pt idx="30">
                  <c:v>45545</c:v>
                </c:pt>
                <c:pt idx="31">
                  <c:v>45546</c:v>
                </c:pt>
                <c:pt idx="32">
                  <c:v>45547</c:v>
                </c:pt>
                <c:pt idx="33">
                  <c:v>45548</c:v>
                </c:pt>
                <c:pt idx="34">
                  <c:v>45551</c:v>
                </c:pt>
                <c:pt idx="35">
                  <c:v>45552</c:v>
                </c:pt>
                <c:pt idx="36">
                  <c:v>45553</c:v>
                </c:pt>
                <c:pt idx="37">
                  <c:v>45554</c:v>
                </c:pt>
                <c:pt idx="38">
                  <c:v>45555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45565</c:v>
                </c:pt>
                <c:pt idx="45">
                  <c:v>45566</c:v>
                </c:pt>
                <c:pt idx="46">
                  <c:v>45567</c:v>
                </c:pt>
                <c:pt idx="47">
                  <c:v>45568</c:v>
                </c:pt>
                <c:pt idx="48">
                  <c:v>45569</c:v>
                </c:pt>
                <c:pt idx="49">
                  <c:v>45572</c:v>
                </c:pt>
                <c:pt idx="50">
                  <c:v>45573</c:v>
                </c:pt>
                <c:pt idx="51">
                  <c:v>45574</c:v>
                </c:pt>
                <c:pt idx="52">
                  <c:v>45575</c:v>
                </c:pt>
                <c:pt idx="53">
                  <c:v>45576</c:v>
                </c:pt>
                <c:pt idx="54">
                  <c:v>45579</c:v>
                </c:pt>
                <c:pt idx="55">
                  <c:v>45580</c:v>
                </c:pt>
                <c:pt idx="56">
                  <c:v>45581</c:v>
                </c:pt>
                <c:pt idx="57">
                  <c:v>45582</c:v>
                </c:pt>
                <c:pt idx="58">
                  <c:v>45583</c:v>
                </c:pt>
                <c:pt idx="59">
                  <c:v>45586</c:v>
                </c:pt>
                <c:pt idx="60">
                  <c:v>45587</c:v>
                </c:pt>
                <c:pt idx="61">
                  <c:v>45588</c:v>
                </c:pt>
                <c:pt idx="62">
                  <c:v>45589</c:v>
                </c:pt>
                <c:pt idx="63">
                  <c:v>45590</c:v>
                </c:pt>
                <c:pt idx="64">
                  <c:v>45593</c:v>
                </c:pt>
                <c:pt idx="65">
                  <c:v>45594</c:v>
                </c:pt>
                <c:pt idx="66">
                  <c:v>45595</c:v>
                </c:pt>
                <c:pt idx="67">
                  <c:v>45596</c:v>
                </c:pt>
                <c:pt idx="68">
                  <c:v>45597</c:v>
                </c:pt>
                <c:pt idx="69">
                  <c:v>45600</c:v>
                </c:pt>
                <c:pt idx="70">
                  <c:v>45601</c:v>
                </c:pt>
                <c:pt idx="71">
                  <c:v>45602</c:v>
                </c:pt>
                <c:pt idx="72">
                  <c:v>45603</c:v>
                </c:pt>
                <c:pt idx="73">
                  <c:v>45604</c:v>
                </c:pt>
                <c:pt idx="74">
                  <c:v>45607</c:v>
                </c:pt>
                <c:pt idx="75">
                  <c:v>45608</c:v>
                </c:pt>
                <c:pt idx="76">
                  <c:v>45609</c:v>
                </c:pt>
                <c:pt idx="77">
                  <c:v>45610</c:v>
                </c:pt>
                <c:pt idx="78">
                  <c:v>45611</c:v>
                </c:pt>
                <c:pt idx="79">
                  <c:v>45614</c:v>
                </c:pt>
                <c:pt idx="80">
                  <c:v>45615</c:v>
                </c:pt>
                <c:pt idx="81">
                  <c:v>45616</c:v>
                </c:pt>
                <c:pt idx="82">
                  <c:v>45617</c:v>
                </c:pt>
                <c:pt idx="83">
                  <c:v>45618</c:v>
                </c:pt>
                <c:pt idx="84">
                  <c:v>45621</c:v>
                </c:pt>
                <c:pt idx="85">
                  <c:v>45622</c:v>
                </c:pt>
                <c:pt idx="86">
                  <c:v>45623</c:v>
                </c:pt>
                <c:pt idx="87">
                  <c:v>45625</c:v>
                </c:pt>
                <c:pt idx="88">
                  <c:v>45628</c:v>
                </c:pt>
                <c:pt idx="89">
                  <c:v>45629</c:v>
                </c:pt>
                <c:pt idx="90">
                  <c:v>45630</c:v>
                </c:pt>
                <c:pt idx="91">
                  <c:v>45631</c:v>
                </c:pt>
                <c:pt idx="92">
                  <c:v>45632</c:v>
                </c:pt>
                <c:pt idx="93">
                  <c:v>45635</c:v>
                </c:pt>
                <c:pt idx="94">
                  <c:v>45636</c:v>
                </c:pt>
                <c:pt idx="95">
                  <c:v>45637</c:v>
                </c:pt>
                <c:pt idx="96">
                  <c:v>45638</c:v>
                </c:pt>
                <c:pt idx="97">
                  <c:v>45639</c:v>
                </c:pt>
                <c:pt idx="98">
                  <c:v>45642</c:v>
                </c:pt>
                <c:pt idx="99">
                  <c:v>45643</c:v>
                </c:pt>
                <c:pt idx="100">
                  <c:v>45644</c:v>
                </c:pt>
                <c:pt idx="101">
                  <c:v>45645</c:v>
                </c:pt>
                <c:pt idx="102">
                  <c:v>45646</c:v>
                </c:pt>
                <c:pt idx="103">
                  <c:v>45649</c:v>
                </c:pt>
                <c:pt idx="104">
                  <c:v>45650</c:v>
                </c:pt>
                <c:pt idx="105">
                  <c:v>45652</c:v>
                </c:pt>
                <c:pt idx="106">
                  <c:v>45653</c:v>
                </c:pt>
                <c:pt idx="107">
                  <c:v>45656</c:v>
                </c:pt>
                <c:pt idx="108">
                  <c:v>45657</c:v>
                </c:pt>
                <c:pt idx="109">
                  <c:v>45659</c:v>
                </c:pt>
                <c:pt idx="110">
                  <c:v>45660</c:v>
                </c:pt>
                <c:pt idx="111">
                  <c:v>45663</c:v>
                </c:pt>
                <c:pt idx="112">
                  <c:v>45664</c:v>
                </c:pt>
                <c:pt idx="113">
                  <c:v>45665</c:v>
                </c:pt>
                <c:pt idx="114">
                  <c:v>45667</c:v>
                </c:pt>
                <c:pt idx="115">
                  <c:v>45670</c:v>
                </c:pt>
                <c:pt idx="116">
                  <c:v>45671</c:v>
                </c:pt>
                <c:pt idx="117">
                  <c:v>45672</c:v>
                </c:pt>
                <c:pt idx="118">
                  <c:v>45673</c:v>
                </c:pt>
                <c:pt idx="119">
                  <c:v>45674</c:v>
                </c:pt>
                <c:pt idx="120">
                  <c:v>45678</c:v>
                </c:pt>
                <c:pt idx="121">
                  <c:v>45679</c:v>
                </c:pt>
                <c:pt idx="122">
                  <c:v>45680</c:v>
                </c:pt>
                <c:pt idx="123">
                  <c:v>45681</c:v>
                </c:pt>
                <c:pt idx="124">
                  <c:v>45684</c:v>
                </c:pt>
                <c:pt idx="125">
                  <c:v>45685</c:v>
                </c:pt>
                <c:pt idx="126">
                  <c:v>45686</c:v>
                </c:pt>
                <c:pt idx="127">
                  <c:v>45687</c:v>
                </c:pt>
                <c:pt idx="128">
                  <c:v>45688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45698</c:v>
                </c:pt>
                <c:pt idx="135">
                  <c:v>45699</c:v>
                </c:pt>
                <c:pt idx="136">
                  <c:v>45700</c:v>
                </c:pt>
                <c:pt idx="137">
                  <c:v>45701</c:v>
                </c:pt>
                <c:pt idx="138">
                  <c:v>45702</c:v>
                </c:pt>
                <c:pt idx="139">
                  <c:v>45706</c:v>
                </c:pt>
                <c:pt idx="140">
                  <c:v>45707</c:v>
                </c:pt>
                <c:pt idx="141">
                  <c:v>45708</c:v>
                </c:pt>
                <c:pt idx="142">
                  <c:v>45709</c:v>
                </c:pt>
                <c:pt idx="143">
                  <c:v>45712</c:v>
                </c:pt>
                <c:pt idx="144">
                  <c:v>45713</c:v>
                </c:pt>
                <c:pt idx="145">
                  <c:v>45714</c:v>
                </c:pt>
                <c:pt idx="146">
                  <c:v>45715</c:v>
                </c:pt>
                <c:pt idx="147">
                  <c:v>45716</c:v>
                </c:pt>
                <c:pt idx="148">
                  <c:v>45719</c:v>
                </c:pt>
                <c:pt idx="149">
                  <c:v>45720</c:v>
                </c:pt>
                <c:pt idx="150">
                  <c:v>45721</c:v>
                </c:pt>
                <c:pt idx="151">
                  <c:v>45722</c:v>
                </c:pt>
                <c:pt idx="152">
                  <c:v>45723</c:v>
                </c:pt>
                <c:pt idx="153">
                  <c:v>45726</c:v>
                </c:pt>
                <c:pt idx="154">
                  <c:v>45727</c:v>
                </c:pt>
                <c:pt idx="155">
                  <c:v>45728</c:v>
                </c:pt>
                <c:pt idx="156">
                  <c:v>45729</c:v>
                </c:pt>
                <c:pt idx="157">
                  <c:v>45730</c:v>
                </c:pt>
                <c:pt idx="158">
                  <c:v>45733</c:v>
                </c:pt>
                <c:pt idx="159">
                  <c:v>45734</c:v>
                </c:pt>
                <c:pt idx="160">
                  <c:v>45735</c:v>
                </c:pt>
                <c:pt idx="161">
                  <c:v>45736</c:v>
                </c:pt>
                <c:pt idx="162">
                  <c:v>45737</c:v>
                </c:pt>
                <c:pt idx="163">
                  <c:v>45740</c:v>
                </c:pt>
                <c:pt idx="164">
                  <c:v>45741</c:v>
                </c:pt>
                <c:pt idx="165">
                  <c:v>45742</c:v>
                </c:pt>
                <c:pt idx="166">
                  <c:v>45743</c:v>
                </c:pt>
                <c:pt idx="167">
                  <c:v>45744</c:v>
                </c:pt>
                <c:pt idx="168">
                  <c:v>45747</c:v>
                </c:pt>
              </c:numCache>
            </c:numRef>
          </c:cat>
          <c:val>
            <c:numRef>
              <c:f>'Q3 BB'!$E$21:$E$189</c:f>
              <c:numCache>
                <c:formatCode>General</c:formatCode>
                <c:ptCount val="169"/>
                <c:pt idx="0">
                  <c:v>236.45835741922622</c:v>
                </c:pt>
                <c:pt idx="1">
                  <c:v>236.28251853746733</c:v>
                </c:pt>
                <c:pt idx="2">
                  <c:v>236.23610371941976</c:v>
                </c:pt>
                <c:pt idx="3">
                  <c:v>236.38722043175801</c:v>
                </c:pt>
                <c:pt idx="4">
                  <c:v>236.27609418244148</c:v>
                </c:pt>
                <c:pt idx="5">
                  <c:v>237.14153617553418</c:v>
                </c:pt>
                <c:pt idx="6">
                  <c:v>237.75745518291924</c:v>
                </c:pt>
                <c:pt idx="7">
                  <c:v>236.83916931918947</c:v>
                </c:pt>
                <c:pt idx="8">
                  <c:v>236.27668117709362</c:v>
                </c:pt>
                <c:pt idx="9">
                  <c:v>234.98596296501734</c:v>
                </c:pt>
                <c:pt idx="10">
                  <c:v>232.56386872333383</c:v>
                </c:pt>
                <c:pt idx="11">
                  <c:v>229.76238393945656</c:v>
                </c:pt>
                <c:pt idx="12">
                  <c:v>228.43409011986478</c:v>
                </c:pt>
                <c:pt idx="13">
                  <c:v>228.52987755532163</c:v>
                </c:pt>
                <c:pt idx="14">
                  <c:v>228.85898683958737</c:v>
                </c:pt>
                <c:pt idx="15">
                  <c:v>229.20453947974013</c:v>
                </c:pt>
                <c:pt idx="16">
                  <c:v>229.49081968913947</c:v>
                </c:pt>
                <c:pt idx="17">
                  <c:v>230.43371425101594</c:v>
                </c:pt>
                <c:pt idx="18">
                  <c:v>231.02766712133626</c:v>
                </c:pt>
                <c:pt idx="19">
                  <c:v>231.9230248817214</c:v>
                </c:pt>
                <c:pt idx="20">
                  <c:v>232.78793385550975</c:v>
                </c:pt>
                <c:pt idx="21">
                  <c:v>233.70419389971241</c:v>
                </c:pt>
                <c:pt idx="22">
                  <c:v>234.17342289892227</c:v>
                </c:pt>
                <c:pt idx="23">
                  <c:v>235.2638965250915</c:v>
                </c:pt>
                <c:pt idx="24">
                  <c:v>236.10073409877521</c:v>
                </c:pt>
                <c:pt idx="25">
                  <c:v>235.4743741077358</c:v>
                </c:pt>
                <c:pt idx="26">
                  <c:v>234.0070686751869</c:v>
                </c:pt>
                <c:pt idx="27">
                  <c:v>232.61125597272954</c:v>
                </c:pt>
                <c:pt idx="28">
                  <c:v>231.61219452747054</c:v>
                </c:pt>
                <c:pt idx="29">
                  <c:v>231.02656476347084</c:v>
                </c:pt>
                <c:pt idx="30">
                  <c:v>230.6613215592601</c:v>
                </c:pt>
                <c:pt idx="31">
                  <c:v>230.59960055241316</c:v>
                </c:pt>
                <c:pt idx="32">
                  <c:v>230.55933190205226</c:v>
                </c:pt>
                <c:pt idx="33">
                  <c:v>230.53352985929465</c:v>
                </c:pt>
                <c:pt idx="34">
                  <c:v>231.06678757635223</c:v>
                </c:pt>
                <c:pt idx="35">
                  <c:v>231.28921967476953</c:v>
                </c:pt>
                <c:pt idx="36">
                  <c:v>230.98806508249825</c:v>
                </c:pt>
                <c:pt idx="37">
                  <c:v>231.39261518815377</c:v>
                </c:pt>
                <c:pt idx="38">
                  <c:v>231.8421504810739</c:v>
                </c:pt>
                <c:pt idx="39">
                  <c:v>231.79523323918147</c:v>
                </c:pt>
                <c:pt idx="40">
                  <c:v>231.82241033556352</c:v>
                </c:pt>
                <c:pt idx="41">
                  <c:v>231.58532005522642</c:v>
                </c:pt>
                <c:pt idx="42">
                  <c:v>231.72796145559181</c:v>
                </c:pt>
                <c:pt idx="43">
                  <c:v>231.35290143754574</c:v>
                </c:pt>
                <c:pt idx="44">
                  <c:v>232.30937194286759</c:v>
                </c:pt>
                <c:pt idx="45">
                  <c:v>232.53590739581031</c:v>
                </c:pt>
                <c:pt idx="46">
                  <c:v>232.79413377024551</c:v>
                </c:pt>
                <c:pt idx="47">
                  <c:v>232.93566383188946</c:v>
                </c:pt>
                <c:pt idx="48">
                  <c:v>233.12634742615171</c:v>
                </c:pt>
                <c:pt idx="49">
                  <c:v>233.09871960795516</c:v>
                </c:pt>
                <c:pt idx="50">
                  <c:v>233.10221136930306</c:v>
                </c:pt>
                <c:pt idx="51">
                  <c:v>233.60857701378313</c:v>
                </c:pt>
                <c:pt idx="52">
                  <c:v>233.98458071929682</c:v>
                </c:pt>
                <c:pt idx="53">
                  <c:v>234.13794239717421</c:v>
                </c:pt>
                <c:pt idx="54">
                  <c:v>233.86950247584431</c:v>
                </c:pt>
                <c:pt idx="55">
                  <c:v>233.77302990366044</c:v>
                </c:pt>
                <c:pt idx="56">
                  <c:v>233.71204343011107</c:v>
                </c:pt>
                <c:pt idx="57">
                  <c:v>234.15702404989972</c:v>
                </c:pt>
                <c:pt idx="58">
                  <c:v>235.22387866156686</c:v>
                </c:pt>
                <c:pt idx="59">
                  <c:v>236.51565086946565</c:v>
                </c:pt>
                <c:pt idx="60">
                  <c:v>237.47849709803248</c:v>
                </c:pt>
                <c:pt idx="61">
                  <c:v>237.57504394000253</c:v>
                </c:pt>
                <c:pt idx="62">
                  <c:v>237.66525886170589</c:v>
                </c:pt>
                <c:pt idx="63">
                  <c:v>237.80995695890329</c:v>
                </c:pt>
                <c:pt idx="64">
                  <c:v>237.86388980407025</c:v>
                </c:pt>
                <c:pt idx="65">
                  <c:v>238.17062593078401</c:v>
                </c:pt>
                <c:pt idx="66">
                  <c:v>238.14434859088809</c:v>
                </c:pt>
                <c:pt idx="67">
                  <c:v>238.12380981178632</c:v>
                </c:pt>
                <c:pt idx="68">
                  <c:v>238.5262966319699</c:v>
                </c:pt>
                <c:pt idx="69">
                  <c:v>238.47039713635951</c:v>
                </c:pt>
                <c:pt idx="70">
                  <c:v>238.69939728911831</c:v>
                </c:pt>
                <c:pt idx="71">
                  <c:v>239.02488790727327</c:v>
                </c:pt>
                <c:pt idx="72">
                  <c:v>239.00840581573433</c:v>
                </c:pt>
                <c:pt idx="73">
                  <c:v>239.01501954182797</c:v>
                </c:pt>
                <c:pt idx="74">
                  <c:v>238.97367185126109</c:v>
                </c:pt>
                <c:pt idx="75">
                  <c:v>238.54712305109106</c:v>
                </c:pt>
                <c:pt idx="76">
                  <c:v>238.27852203075773</c:v>
                </c:pt>
                <c:pt idx="77">
                  <c:v>237.94581173122097</c:v>
                </c:pt>
                <c:pt idx="78">
                  <c:v>237.05200527991798</c:v>
                </c:pt>
                <c:pt idx="79">
                  <c:v>235.70648553523179</c:v>
                </c:pt>
                <c:pt idx="80">
                  <c:v>234.35162447566128</c:v>
                </c:pt>
                <c:pt idx="81">
                  <c:v>234.12180721417505</c:v>
                </c:pt>
                <c:pt idx="82">
                  <c:v>233.8655629914339</c:v>
                </c:pt>
                <c:pt idx="83">
                  <c:v>233.61331178223685</c:v>
                </c:pt>
                <c:pt idx="84">
                  <c:v>233.4822045369695</c:v>
                </c:pt>
                <c:pt idx="85">
                  <c:v>233.87426459182905</c:v>
                </c:pt>
                <c:pt idx="86">
                  <c:v>234.87214588186134</c:v>
                </c:pt>
                <c:pt idx="87">
                  <c:v>236.63930328065027</c:v>
                </c:pt>
                <c:pt idx="88">
                  <c:v>238.60317772875817</c:v>
                </c:pt>
                <c:pt idx="89">
                  <c:v>240.93349272732988</c:v>
                </c:pt>
                <c:pt idx="90">
                  <c:v>242.98164330675451</c:v>
                </c:pt>
                <c:pt idx="91">
                  <c:v>244.57991635111037</c:v>
                </c:pt>
                <c:pt idx="92">
                  <c:v>246.1036909301661</c:v>
                </c:pt>
                <c:pt idx="93">
                  <c:v>248.24069526631229</c:v>
                </c:pt>
                <c:pt idx="94">
                  <c:v>250.06706835758843</c:v>
                </c:pt>
                <c:pt idx="95">
                  <c:v>251.24011407196707</c:v>
                </c:pt>
                <c:pt idx="96">
                  <c:v>252.45967476044223</c:v>
                </c:pt>
                <c:pt idx="97">
                  <c:v>253.67324283584904</c:v>
                </c:pt>
                <c:pt idx="98">
                  <c:v>254.8057235413481</c:v>
                </c:pt>
                <c:pt idx="99">
                  <c:v>256.40282669337813</c:v>
                </c:pt>
                <c:pt idx="100">
                  <c:v>256.6552226289852</c:v>
                </c:pt>
                <c:pt idx="101">
                  <c:v>256.94557340319204</c:v>
                </c:pt>
                <c:pt idx="102">
                  <c:v>257.62601749641226</c:v>
                </c:pt>
                <c:pt idx="103">
                  <c:v>258.17476923243913</c:v>
                </c:pt>
                <c:pt idx="104">
                  <c:v>259.39037029709573</c:v>
                </c:pt>
                <c:pt idx="105">
                  <c:v>260.64505669331345</c:v>
                </c:pt>
                <c:pt idx="106">
                  <c:v>260.73561568677451</c:v>
                </c:pt>
                <c:pt idx="107">
                  <c:v>260.36959324743879</c:v>
                </c:pt>
                <c:pt idx="108">
                  <c:v>259.93725753222691</c:v>
                </c:pt>
                <c:pt idx="109">
                  <c:v>259.83152996645924</c:v>
                </c:pt>
                <c:pt idx="110">
                  <c:v>259.7993996775968</c:v>
                </c:pt>
                <c:pt idx="111">
                  <c:v>259.64799179997146</c:v>
                </c:pt>
                <c:pt idx="112">
                  <c:v>259.71813495423527</c:v>
                </c:pt>
                <c:pt idx="113">
                  <c:v>259.95351960624379</c:v>
                </c:pt>
                <c:pt idx="114">
                  <c:v>260.91179784524672</c:v>
                </c:pt>
                <c:pt idx="115">
                  <c:v>262.0207650769961</c:v>
                </c:pt>
                <c:pt idx="116">
                  <c:v>262.93842618570596</c:v>
                </c:pt>
                <c:pt idx="117">
                  <c:v>263.07222001618982</c:v>
                </c:pt>
                <c:pt idx="118">
                  <c:v>263.97694586643104</c:v>
                </c:pt>
                <c:pt idx="119">
                  <c:v>263.85609567061954</c:v>
                </c:pt>
                <c:pt idx="120">
                  <c:v>265.00549480443863</c:v>
                </c:pt>
                <c:pt idx="121">
                  <c:v>265.27363872080554</c:v>
                </c:pt>
                <c:pt idx="122">
                  <c:v>264.46752967651776</c:v>
                </c:pt>
                <c:pt idx="123">
                  <c:v>263.15831886871575</c:v>
                </c:pt>
                <c:pt idx="124">
                  <c:v>260.34117054156093</c:v>
                </c:pt>
                <c:pt idx="125">
                  <c:v>256.9901207334488</c:v>
                </c:pt>
                <c:pt idx="126">
                  <c:v>254.21111128876723</c:v>
                </c:pt>
                <c:pt idx="127">
                  <c:v>251.84630335598959</c:v>
                </c:pt>
                <c:pt idx="128">
                  <c:v>249.53186724069857</c:v>
                </c:pt>
                <c:pt idx="129">
                  <c:v>248.34666114590578</c:v>
                </c:pt>
                <c:pt idx="130">
                  <c:v>247.10623955927306</c:v>
                </c:pt>
                <c:pt idx="131">
                  <c:v>245.3300190485775</c:v>
                </c:pt>
                <c:pt idx="132">
                  <c:v>244.0638614029954</c:v>
                </c:pt>
                <c:pt idx="133">
                  <c:v>242.37840706332992</c:v>
                </c:pt>
                <c:pt idx="134">
                  <c:v>241.73227250242638</c:v>
                </c:pt>
                <c:pt idx="135">
                  <c:v>241.55310209734691</c:v>
                </c:pt>
                <c:pt idx="136">
                  <c:v>242.01908665600672</c:v>
                </c:pt>
                <c:pt idx="137">
                  <c:v>242.78736246601889</c:v>
                </c:pt>
                <c:pt idx="138">
                  <c:v>244.94855507140005</c:v>
                </c:pt>
                <c:pt idx="139">
                  <c:v>246.76252938624799</c:v>
                </c:pt>
                <c:pt idx="140">
                  <c:v>248.00963366363354</c:v>
                </c:pt>
                <c:pt idx="141">
                  <c:v>249.23255749614319</c:v>
                </c:pt>
                <c:pt idx="142">
                  <c:v>250.01720725243356</c:v>
                </c:pt>
                <c:pt idx="143">
                  <c:v>250.56747896998814</c:v>
                </c:pt>
                <c:pt idx="144">
                  <c:v>251.61777136856361</c:v>
                </c:pt>
                <c:pt idx="145">
                  <c:v>251.75837080212955</c:v>
                </c:pt>
                <c:pt idx="146">
                  <c:v>251.65205660377444</c:v>
                </c:pt>
                <c:pt idx="147">
                  <c:v>251.95937948230142</c:v>
                </c:pt>
                <c:pt idx="148">
                  <c:v>252.01597069540625</c:v>
                </c:pt>
                <c:pt idx="149">
                  <c:v>251.55689750528103</c:v>
                </c:pt>
                <c:pt idx="150">
                  <c:v>251.47275025133297</c:v>
                </c:pt>
                <c:pt idx="151">
                  <c:v>251.36127509790995</c:v>
                </c:pt>
                <c:pt idx="152">
                  <c:v>251.32836584152179</c:v>
                </c:pt>
                <c:pt idx="153">
                  <c:v>251.35253267118921</c:v>
                </c:pt>
                <c:pt idx="154">
                  <c:v>252.70531250245915</c:v>
                </c:pt>
                <c:pt idx="155">
                  <c:v>254.95987854352776</c:v>
                </c:pt>
                <c:pt idx="156">
                  <c:v>257.97736540794654</c:v>
                </c:pt>
                <c:pt idx="157">
                  <c:v>258.91025713650214</c:v>
                </c:pt>
                <c:pt idx="158">
                  <c:v>258.8552796640837</c:v>
                </c:pt>
                <c:pt idx="159">
                  <c:v>258.49577617788452</c:v>
                </c:pt>
                <c:pt idx="160">
                  <c:v>257.40937794292819</c:v>
                </c:pt>
                <c:pt idx="161">
                  <c:v>255.87784856071031</c:v>
                </c:pt>
                <c:pt idx="162">
                  <c:v>253.81014045042895</c:v>
                </c:pt>
                <c:pt idx="163">
                  <c:v>251.04084223452469</c:v>
                </c:pt>
                <c:pt idx="164">
                  <c:v>247.93064148042143</c:v>
                </c:pt>
                <c:pt idx="165">
                  <c:v>245.92383470835898</c:v>
                </c:pt>
                <c:pt idx="166">
                  <c:v>244.39621452543588</c:v>
                </c:pt>
                <c:pt idx="167">
                  <c:v>241.51990434669045</c:v>
                </c:pt>
                <c:pt idx="168">
                  <c:v>239.2900790635762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5E-764D-B0E8-E44FAEB5FEB8}"/>
            </c:ext>
          </c:extLst>
        </c:ser>
        <c:ser>
          <c:idx val="3"/>
          <c:order val="3"/>
          <c:tx>
            <c:v>lower band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'Q3 BB'!$A$21:$A$189</c:f>
              <c:numCache>
                <c:formatCode>m/d/yy</c:formatCode>
                <c:ptCount val="169"/>
                <c:pt idx="0">
                  <c:v>45502</c:v>
                </c:pt>
                <c:pt idx="1">
                  <c:v>45503</c:v>
                </c:pt>
                <c:pt idx="2">
                  <c:v>45504</c:v>
                </c:pt>
                <c:pt idx="3">
                  <c:v>45505</c:v>
                </c:pt>
                <c:pt idx="4">
                  <c:v>45506</c:v>
                </c:pt>
                <c:pt idx="5">
                  <c:v>45509</c:v>
                </c:pt>
                <c:pt idx="6">
                  <c:v>45510</c:v>
                </c:pt>
                <c:pt idx="7">
                  <c:v>45511</c:v>
                </c:pt>
                <c:pt idx="8">
                  <c:v>45512</c:v>
                </c:pt>
                <c:pt idx="9">
                  <c:v>45513</c:v>
                </c:pt>
                <c:pt idx="10">
                  <c:v>45516</c:v>
                </c:pt>
                <c:pt idx="11">
                  <c:v>45517</c:v>
                </c:pt>
                <c:pt idx="12">
                  <c:v>45518</c:v>
                </c:pt>
                <c:pt idx="13">
                  <c:v>45519</c:v>
                </c:pt>
                <c:pt idx="14">
                  <c:v>45520</c:v>
                </c:pt>
                <c:pt idx="15">
                  <c:v>45523</c:v>
                </c:pt>
                <c:pt idx="16">
                  <c:v>45524</c:v>
                </c:pt>
                <c:pt idx="17">
                  <c:v>45525</c:v>
                </c:pt>
                <c:pt idx="18">
                  <c:v>45526</c:v>
                </c:pt>
                <c:pt idx="19">
                  <c:v>45527</c:v>
                </c:pt>
                <c:pt idx="20">
                  <c:v>45530</c:v>
                </c:pt>
                <c:pt idx="21">
                  <c:v>45531</c:v>
                </c:pt>
                <c:pt idx="22">
                  <c:v>45532</c:v>
                </c:pt>
                <c:pt idx="23">
                  <c:v>45533</c:v>
                </c:pt>
                <c:pt idx="24">
                  <c:v>45534</c:v>
                </c:pt>
                <c:pt idx="25">
                  <c:v>45538</c:v>
                </c:pt>
                <c:pt idx="26">
                  <c:v>45539</c:v>
                </c:pt>
                <c:pt idx="27">
                  <c:v>45540</c:v>
                </c:pt>
                <c:pt idx="28">
                  <c:v>45541</c:v>
                </c:pt>
                <c:pt idx="29">
                  <c:v>45544</c:v>
                </c:pt>
                <c:pt idx="30">
                  <c:v>45545</c:v>
                </c:pt>
                <c:pt idx="31">
                  <c:v>45546</c:v>
                </c:pt>
                <c:pt idx="32">
                  <c:v>45547</c:v>
                </c:pt>
                <c:pt idx="33">
                  <c:v>45548</c:v>
                </c:pt>
                <c:pt idx="34">
                  <c:v>45551</c:v>
                </c:pt>
                <c:pt idx="35">
                  <c:v>45552</c:v>
                </c:pt>
                <c:pt idx="36">
                  <c:v>45553</c:v>
                </c:pt>
                <c:pt idx="37">
                  <c:v>45554</c:v>
                </c:pt>
                <c:pt idx="38">
                  <c:v>45555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45565</c:v>
                </c:pt>
                <c:pt idx="45">
                  <c:v>45566</c:v>
                </c:pt>
                <c:pt idx="46">
                  <c:v>45567</c:v>
                </c:pt>
                <c:pt idx="47">
                  <c:v>45568</c:v>
                </c:pt>
                <c:pt idx="48">
                  <c:v>45569</c:v>
                </c:pt>
                <c:pt idx="49">
                  <c:v>45572</c:v>
                </c:pt>
                <c:pt idx="50">
                  <c:v>45573</c:v>
                </c:pt>
                <c:pt idx="51">
                  <c:v>45574</c:v>
                </c:pt>
                <c:pt idx="52">
                  <c:v>45575</c:v>
                </c:pt>
                <c:pt idx="53">
                  <c:v>45576</c:v>
                </c:pt>
                <c:pt idx="54">
                  <c:v>45579</c:v>
                </c:pt>
                <c:pt idx="55">
                  <c:v>45580</c:v>
                </c:pt>
                <c:pt idx="56">
                  <c:v>45581</c:v>
                </c:pt>
                <c:pt idx="57">
                  <c:v>45582</c:v>
                </c:pt>
                <c:pt idx="58">
                  <c:v>45583</c:v>
                </c:pt>
                <c:pt idx="59">
                  <c:v>45586</c:v>
                </c:pt>
                <c:pt idx="60">
                  <c:v>45587</c:v>
                </c:pt>
                <c:pt idx="61">
                  <c:v>45588</c:v>
                </c:pt>
                <c:pt idx="62">
                  <c:v>45589</c:v>
                </c:pt>
                <c:pt idx="63">
                  <c:v>45590</c:v>
                </c:pt>
                <c:pt idx="64">
                  <c:v>45593</c:v>
                </c:pt>
                <c:pt idx="65">
                  <c:v>45594</c:v>
                </c:pt>
                <c:pt idx="66">
                  <c:v>45595</c:v>
                </c:pt>
                <c:pt idx="67">
                  <c:v>45596</c:v>
                </c:pt>
                <c:pt idx="68">
                  <c:v>45597</c:v>
                </c:pt>
                <c:pt idx="69">
                  <c:v>45600</c:v>
                </c:pt>
                <c:pt idx="70">
                  <c:v>45601</c:v>
                </c:pt>
                <c:pt idx="71">
                  <c:v>45602</c:v>
                </c:pt>
                <c:pt idx="72">
                  <c:v>45603</c:v>
                </c:pt>
                <c:pt idx="73">
                  <c:v>45604</c:v>
                </c:pt>
                <c:pt idx="74">
                  <c:v>45607</c:v>
                </c:pt>
                <c:pt idx="75">
                  <c:v>45608</c:v>
                </c:pt>
                <c:pt idx="76">
                  <c:v>45609</c:v>
                </c:pt>
                <c:pt idx="77">
                  <c:v>45610</c:v>
                </c:pt>
                <c:pt idx="78">
                  <c:v>45611</c:v>
                </c:pt>
                <c:pt idx="79">
                  <c:v>45614</c:v>
                </c:pt>
                <c:pt idx="80">
                  <c:v>45615</c:v>
                </c:pt>
                <c:pt idx="81">
                  <c:v>45616</c:v>
                </c:pt>
                <c:pt idx="82">
                  <c:v>45617</c:v>
                </c:pt>
                <c:pt idx="83">
                  <c:v>45618</c:v>
                </c:pt>
                <c:pt idx="84">
                  <c:v>45621</c:v>
                </c:pt>
                <c:pt idx="85">
                  <c:v>45622</c:v>
                </c:pt>
                <c:pt idx="86">
                  <c:v>45623</c:v>
                </c:pt>
                <c:pt idx="87">
                  <c:v>45625</c:v>
                </c:pt>
                <c:pt idx="88">
                  <c:v>45628</c:v>
                </c:pt>
                <c:pt idx="89">
                  <c:v>45629</c:v>
                </c:pt>
                <c:pt idx="90">
                  <c:v>45630</c:v>
                </c:pt>
                <c:pt idx="91">
                  <c:v>45631</c:v>
                </c:pt>
                <c:pt idx="92">
                  <c:v>45632</c:v>
                </c:pt>
                <c:pt idx="93">
                  <c:v>45635</c:v>
                </c:pt>
                <c:pt idx="94">
                  <c:v>45636</c:v>
                </c:pt>
                <c:pt idx="95">
                  <c:v>45637</c:v>
                </c:pt>
                <c:pt idx="96">
                  <c:v>45638</c:v>
                </c:pt>
                <c:pt idx="97">
                  <c:v>45639</c:v>
                </c:pt>
                <c:pt idx="98">
                  <c:v>45642</c:v>
                </c:pt>
                <c:pt idx="99">
                  <c:v>45643</c:v>
                </c:pt>
                <c:pt idx="100">
                  <c:v>45644</c:v>
                </c:pt>
                <c:pt idx="101">
                  <c:v>45645</c:v>
                </c:pt>
                <c:pt idx="102">
                  <c:v>45646</c:v>
                </c:pt>
                <c:pt idx="103">
                  <c:v>45649</c:v>
                </c:pt>
                <c:pt idx="104">
                  <c:v>45650</c:v>
                </c:pt>
                <c:pt idx="105">
                  <c:v>45652</c:v>
                </c:pt>
                <c:pt idx="106">
                  <c:v>45653</c:v>
                </c:pt>
                <c:pt idx="107">
                  <c:v>45656</c:v>
                </c:pt>
                <c:pt idx="108">
                  <c:v>45657</c:v>
                </c:pt>
                <c:pt idx="109">
                  <c:v>45659</c:v>
                </c:pt>
                <c:pt idx="110">
                  <c:v>45660</c:v>
                </c:pt>
                <c:pt idx="111">
                  <c:v>45663</c:v>
                </c:pt>
                <c:pt idx="112">
                  <c:v>45664</c:v>
                </c:pt>
                <c:pt idx="113">
                  <c:v>45665</c:v>
                </c:pt>
                <c:pt idx="114">
                  <c:v>45667</c:v>
                </c:pt>
                <c:pt idx="115">
                  <c:v>45670</c:v>
                </c:pt>
                <c:pt idx="116">
                  <c:v>45671</c:v>
                </c:pt>
                <c:pt idx="117">
                  <c:v>45672</c:v>
                </c:pt>
                <c:pt idx="118">
                  <c:v>45673</c:v>
                </c:pt>
                <c:pt idx="119">
                  <c:v>45674</c:v>
                </c:pt>
                <c:pt idx="120">
                  <c:v>45678</c:v>
                </c:pt>
                <c:pt idx="121">
                  <c:v>45679</c:v>
                </c:pt>
                <c:pt idx="122">
                  <c:v>45680</c:v>
                </c:pt>
                <c:pt idx="123">
                  <c:v>45681</c:v>
                </c:pt>
                <c:pt idx="124">
                  <c:v>45684</c:v>
                </c:pt>
                <c:pt idx="125">
                  <c:v>45685</c:v>
                </c:pt>
                <c:pt idx="126">
                  <c:v>45686</c:v>
                </c:pt>
                <c:pt idx="127">
                  <c:v>45687</c:v>
                </c:pt>
                <c:pt idx="128">
                  <c:v>45688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45698</c:v>
                </c:pt>
                <c:pt idx="135">
                  <c:v>45699</c:v>
                </c:pt>
                <c:pt idx="136">
                  <c:v>45700</c:v>
                </c:pt>
                <c:pt idx="137">
                  <c:v>45701</c:v>
                </c:pt>
                <c:pt idx="138">
                  <c:v>45702</c:v>
                </c:pt>
                <c:pt idx="139">
                  <c:v>45706</c:v>
                </c:pt>
                <c:pt idx="140">
                  <c:v>45707</c:v>
                </c:pt>
                <c:pt idx="141">
                  <c:v>45708</c:v>
                </c:pt>
                <c:pt idx="142">
                  <c:v>45709</c:v>
                </c:pt>
                <c:pt idx="143">
                  <c:v>45712</c:v>
                </c:pt>
                <c:pt idx="144">
                  <c:v>45713</c:v>
                </c:pt>
                <c:pt idx="145">
                  <c:v>45714</c:v>
                </c:pt>
                <c:pt idx="146">
                  <c:v>45715</c:v>
                </c:pt>
                <c:pt idx="147">
                  <c:v>45716</c:v>
                </c:pt>
                <c:pt idx="148">
                  <c:v>45719</c:v>
                </c:pt>
                <c:pt idx="149">
                  <c:v>45720</c:v>
                </c:pt>
                <c:pt idx="150">
                  <c:v>45721</c:v>
                </c:pt>
                <c:pt idx="151">
                  <c:v>45722</c:v>
                </c:pt>
                <c:pt idx="152">
                  <c:v>45723</c:v>
                </c:pt>
                <c:pt idx="153">
                  <c:v>45726</c:v>
                </c:pt>
                <c:pt idx="154">
                  <c:v>45727</c:v>
                </c:pt>
                <c:pt idx="155">
                  <c:v>45728</c:v>
                </c:pt>
                <c:pt idx="156">
                  <c:v>45729</c:v>
                </c:pt>
                <c:pt idx="157">
                  <c:v>45730</c:v>
                </c:pt>
                <c:pt idx="158">
                  <c:v>45733</c:v>
                </c:pt>
                <c:pt idx="159">
                  <c:v>45734</c:v>
                </c:pt>
                <c:pt idx="160">
                  <c:v>45735</c:v>
                </c:pt>
                <c:pt idx="161">
                  <c:v>45736</c:v>
                </c:pt>
                <c:pt idx="162">
                  <c:v>45737</c:v>
                </c:pt>
                <c:pt idx="163">
                  <c:v>45740</c:v>
                </c:pt>
                <c:pt idx="164">
                  <c:v>45741</c:v>
                </c:pt>
                <c:pt idx="165">
                  <c:v>45742</c:v>
                </c:pt>
                <c:pt idx="166">
                  <c:v>45743</c:v>
                </c:pt>
                <c:pt idx="167">
                  <c:v>45744</c:v>
                </c:pt>
                <c:pt idx="168">
                  <c:v>45747</c:v>
                </c:pt>
              </c:numCache>
            </c:numRef>
          </c:cat>
          <c:val>
            <c:numRef>
              <c:f>'Q3 BB'!$F$21:$F$189</c:f>
              <c:numCache>
                <c:formatCode>General</c:formatCode>
                <c:ptCount val="169"/>
                <c:pt idx="0">
                  <c:v>213.57064258077378</c:v>
                </c:pt>
                <c:pt idx="1">
                  <c:v>213.95148146253271</c:v>
                </c:pt>
                <c:pt idx="2">
                  <c:v>214.1788962805802</c:v>
                </c:pt>
                <c:pt idx="3">
                  <c:v>213.70877956824188</c:v>
                </c:pt>
                <c:pt idx="4">
                  <c:v>213.17190581755838</c:v>
                </c:pt>
                <c:pt idx="5">
                  <c:v>210.45146382446583</c:v>
                </c:pt>
                <c:pt idx="6">
                  <c:v>207.69054481708073</c:v>
                </c:pt>
                <c:pt idx="7">
                  <c:v>206.29283068081048</c:v>
                </c:pt>
                <c:pt idx="8">
                  <c:v>205.4293188229064</c:v>
                </c:pt>
                <c:pt idx="9">
                  <c:v>205.29003703498267</c:v>
                </c:pt>
                <c:pt idx="10">
                  <c:v>206.02513127666623</c:v>
                </c:pt>
                <c:pt idx="11">
                  <c:v>207.47161606054354</c:v>
                </c:pt>
                <c:pt idx="12">
                  <c:v>208.08390988013537</c:v>
                </c:pt>
                <c:pt idx="13">
                  <c:v>208.04212244467848</c:v>
                </c:pt>
                <c:pt idx="14">
                  <c:v>207.88701316041261</c:v>
                </c:pt>
                <c:pt idx="15">
                  <c:v>207.73446052025989</c:v>
                </c:pt>
                <c:pt idx="16">
                  <c:v>207.59818031086058</c:v>
                </c:pt>
                <c:pt idx="17">
                  <c:v>207.44128574898394</c:v>
                </c:pt>
                <c:pt idx="18">
                  <c:v>207.55133287866363</c:v>
                </c:pt>
                <c:pt idx="19">
                  <c:v>207.54397511827858</c:v>
                </c:pt>
                <c:pt idx="20">
                  <c:v>207.5730661444903</c:v>
                </c:pt>
                <c:pt idx="21">
                  <c:v>207.57980610028758</c:v>
                </c:pt>
                <c:pt idx="22">
                  <c:v>207.55157710107775</c:v>
                </c:pt>
                <c:pt idx="23">
                  <c:v>207.60410347490856</c:v>
                </c:pt>
                <c:pt idx="24">
                  <c:v>207.68126590122478</c:v>
                </c:pt>
                <c:pt idx="25">
                  <c:v>209.65762589226426</c:v>
                </c:pt>
                <c:pt idx="26">
                  <c:v>212.48693132481324</c:v>
                </c:pt>
                <c:pt idx="27">
                  <c:v>215.13874402727046</c:v>
                </c:pt>
                <c:pt idx="28">
                  <c:v>216.8888054725295</c:v>
                </c:pt>
                <c:pt idx="29">
                  <c:v>217.94143523652912</c:v>
                </c:pt>
                <c:pt idx="30">
                  <c:v>218.5646784407399</c:v>
                </c:pt>
                <c:pt idx="31">
                  <c:v>218.76539944758679</c:v>
                </c:pt>
                <c:pt idx="32">
                  <c:v>218.91066809794782</c:v>
                </c:pt>
                <c:pt idx="33">
                  <c:v>218.7144701407054</c:v>
                </c:pt>
                <c:pt idx="34">
                  <c:v>217.20821242364775</c:v>
                </c:pt>
                <c:pt idx="35">
                  <c:v>216.07578032523043</c:v>
                </c:pt>
                <c:pt idx="36">
                  <c:v>215.79493491750176</c:v>
                </c:pt>
                <c:pt idx="37">
                  <c:v>215.63738481184615</c:v>
                </c:pt>
                <c:pt idx="38">
                  <c:v>215.55484951892615</c:v>
                </c:pt>
                <c:pt idx="39">
                  <c:v>215.56476676081854</c:v>
                </c:pt>
                <c:pt idx="40">
                  <c:v>215.5565896644365</c:v>
                </c:pt>
                <c:pt idx="41">
                  <c:v>215.62767994477349</c:v>
                </c:pt>
                <c:pt idx="42">
                  <c:v>215.58803854440828</c:v>
                </c:pt>
                <c:pt idx="43">
                  <c:v>215.76309856245425</c:v>
                </c:pt>
                <c:pt idx="44">
                  <c:v>215.20662805713238</c:v>
                </c:pt>
                <c:pt idx="45">
                  <c:v>215.32409260418964</c:v>
                </c:pt>
                <c:pt idx="46">
                  <c:v>215.65886622975435</c:v>
                </c:pt>
                <c:pt idx="47">
                  <c:v>215.84633616811053</c:v>
                </c:pt>
                <c:pt idx="48">
                  <c:v>216.25365257384823</c:v>
                </c:pt>
                <c:pt idx="49">
                  <c:v>216.35928039204481</c:v>
                </c:pt>
                <c:pt idx="50">
                  <c:v>216.92178863069699</c:v>
                </c:pt>
                <c:pt idx="51">
                  <c:v>217.10342298621697</c:v>
                </c:pt>
                <c:pt idx="52">
                  <c:v>217.35441928070324</c:v>
                </c:pt>
                <c:pt idx="53">
                  <c:v>217.70605760282584</c:v>
                </c:pt>
                <c:pt idx="54">
                  <c:v>219.47249752415567</c:v>
                </c:pt>
                <c:pt idx="55">
                  <c:v>221.27497009633962</c:v>
                </c:pt>
                <c:pt idx="56">
                  <c:v>222.44495656988897</c:v>
                </c:pt>
                <c:pt idx="57">
                  <c:v>222.3279759501003</c:v>
                </c:pt>
                <c:pt idx="58">
                  <c:v>221.94112133843311</c:v>
                </c:pt>
                <c:pt idx="59">
                  <c:v>221.65034913053435</c:v>
                </c:pt>
                <c:pt idx="60">
                  <c:v>221.53650290196751</c:v>
                </c:pt>
                <c:pt idx="61">
                  <c:v>221.87895605999748</c:v>
                </c:pt>
                <c:pt idx="62">
                  <c:v>222.09374113829412</c:v>
                </c:pt>
                <c:pt idx="63">
                  <c:v>222.3110430410967</c:v>
                </c:pt>
                <c:pt idx="64">
                  <c:v>222.29711019592969</c:v>
                </c:pt>
                <c:pt idx="65">
                  <c:v>222.73637406921603</c:v>
                </c:pt>
                <c:pt idx="66">
                  <c:v>223.09465140911206</c:v>
                </c:pt>
                <c:pt idx="67">
                  <c:v>223.13919018821372</c:v>
                </c:pt>
                <c:pt idx="68">
                  <c:v>222.34770336803007</c:v>
                </c:pt>
                <c:pt idx="69">
                  <c:v>222.43560286364055</c:v>
                </c:pt>
                <c:pt idx="70">
                  <c:v>221.97460271088178</c:v>
                </c:pt>
                <c:pt idx="71">
                  <c:v>220.96711209272675</c:v>
                </c:pt>
                <c:pt idx="72">
                  <c:v>220.82759418426562</c:v>
                </c:pt>
                <c:pt idx="73">
                  <c:v>220.76198045817196</c:v>
                </c:pt>
                <c:pt idx="74">
                  <c:v>220.09632814873879</c:v>
                </c:pt>
                <c:pt idx="75">
                  <c:v>219.56087694890877</c:v>
                </c:pt>
                <c:pt idx="76">
                  <c:v>219.16347796924211</c:v>
                </c:pt>
                <c:pt idx="77">
                  <c:v>219.10318826877901</c:v>
                </c:pt>
                <c:pt idx="78">
                  <c:v>218.996994720082</c:v>
                </c:pt>
                <c:pt idx="79">
                  <c:v>219.4965144647683</c:v>
                </c:pt>
                <c:pt idx="80">
                  <c:v>220.0933755243386</c:v>
                </c:pt>
                <c:pt idx="81">
                  <c:v>220.1471927858249</c:v>
                </c:pt>
                <c:pt idx="82">
                  <c:v>220.19843700856612</c:v>
                </c:pt>
                <c:pt idx="83">
                  <c:v>220.29668821776318</c:v>
                </c:pt>
                <c:pt idx="84">
                  <c:v>220.37479546303047</c:v>
                </c:pt>
                <c:pt idx="85">
                  <c:v>220.12173540817093</c:v>
                </c:pt>
                <c:pt idx="86">
                  <c:v>219.60685411813864</c:v>
                </c:pt>
                <c:pt idx="87">
                  <c:v>218.98169671934971</c:v>
                </c:pt>
                <c:pt idx="88">
                  <c:v>218.68582227124188</c:v>
                </c:pt>
                <c:pt idx="89">
                  <c:v>218.41950727267007</c:v>
                </c:pt>
                <c:pt idx="90">
                  <c:v>218.32735669324541</c:v>
                </c:pt>
                <c:pt idx="91">
                  <c:v>218.76108364888964</c:v>
                </c:pt>
                <c:pt idx="92">
                  <c:v>218.77330906983386</c:v>
                </c:pt>
                <c:pt idx="93">
                  <c:v>218.61530473368765</c:v>
                </c:pt>
                <c:pt idx="94">
                  <c:v>219.14293164241161</c:v>
                </c:pt>
                <c:pt idx="95">
                  <c:v>220.19588592803296</c:v>
                </c:pt>
                <c:pt idx="96">
                  <c:v>221.26032523955774</c:v>
                </c:pt>
                <c:pt idx="97">
                  <c:v>222.03775716415103</c:v>
                </c:pt>
                <c:pt idx="98">
                  <c:v>223.50927645865195</c:v>
                </c:pt>
                <c:pt idx="99">
                  <c:v>224.45817330662186</c:v>
                </c:pt>
                <c:pt idx="100">
                  <c:v>226.18277737101485</c:v>
                </c:pt>
                <c:pt idx="101">
                  <c:v>227.97142659680799</c:v>
                </c:pt>
                <c:pt idx="102">
                  <c:v>229.88798250358772</c:v>
                </c:pt>
                <c:pt idx="103">
                  <c:v>231.87923076756084</c:v>
                </c:pt>
                <c:pt idx="104">
                  <c:v>233.19662970290437</c:v>
                </c:pt>
                <c:pt idx="105">
                  <c:v>234.33794330668658</c:v>
                </c:pt>
                <c:pt idx="106">
                  <c:v>236.31338431322561</c:v>
                </c:pt>
                <c:pt idx="107">
                  <c:v>238.16640675256116</c:v>
                </c:pt>
                <c:pt idx="108">
                  <c:v>239.68174246777309</c:v>
                </c:pt>
                <c:pt idx="109">
                  <c:v>239.90747003354079</c:v>
                </c:pt>
                <c:pt idx="110">
                  <c:v>239.97460032240321</c:v>
                </c:pt>
                <c:pt idx="111">
                  <c:v>240.32200820002853</c:v>
                </c:pt>
                <c:pt idx="112">
                  <c:v>240.18886504576471</c:v>
                </c:pt>
                <c:pt idx="113">
                  <c:v>239.54848039375617</c:v>
                </c:pt>
                <c:pt idx="114">
                  <c:v>237.49820215475327</c:v>
                </c:pt>
                <c:pt idx="115">
                  <c:v>235.18023492300381</c:v>
                </c:pt>
                <c:pt idx="116">
                  <c:v>232.79457381429407</c:v>
                </c:pt>
                <c:pt idx="117">
                  <c:v>231.63477998381006</c:v>
                </c:pt>
                <c:pt idx="118">
                  <c:v>228.45205413356888</c:v>
                </c:pt>
                <c:pt idx="119">
                  <c:v>226.22290432938038</c:v>
                </c:pt>
                <c:pt idx="120">
                  <c:v>222.53250519556141</c:v>
                </c:pt>
                <c:pt idx="121">
                  <c:v>219.6683612791945</c:v>
                </c:pt>
                <c:pt idx="122">
                  <c:v>217.3914703234822</c:v>
                </c:pt>
                <c:pt idx="123">
                  <c:v>215.4516811312842</c:v>
                </c:pt>
                <c:pt idx="124">
                  <c:v>215.43482945843903</c:v>
                </c:pt>
                <c:pt idx="125">
                  <c:v>216.70987926655118</c:v>
                </c:pt>
                <c:pt idx="126">
                  <c:v>217.86588871123271</c:v>
                </c:pt>
                <c:pt idx="127">
                  <c:v>218.76969664401039</c:v>
                </c:pt>
                <c:pt idx="128">
                  <c:v>219.6421327593014</c:v>
                </c:pt>
                <c:pt idx="129">
                  <c:v>219.24333885409425</c:v>
                </c:pt>
                <c:pt idx="130">
                  <c:v>219.42776044072704</c:v>
                </c:pt>
                <c:pt idx="131">
                  <c:v>219.95098095142257</c:v>
                </c:pt>
                <c:pt idx="132">
                  <c:v>220.31813859700466</c:v>
                </c:pt>
                <c:pt idx="133">
                  <c:v>220.4965929366702</c:v>
                </c:pt>
                <c:pt idx="134">
                  <c:v>220.22272749757354</c:v>
                </c:pt>
                <c:pt idx="135">
                  <c:v>220.22389790265302</c:v>
                </c:pt>
                <c:pt idx="136">
                  <c:v>220.11691334399325</c:v>
                </c:pt>
                <c:pt idx="137">
                  <c:v>219.71463753398118</c:v>
                </c:pt>
                <c:pt idx="138">
                  <c:v>219.18744492860003</c:v>
                </c:pt>
                <c:pt idx="139">
                  <c:v>218.82247061375205</c:v>
                </c:pt>
                <c:pt idx="140">
                  <c:v>219.79836633636646</c:v>
                </c:pt>
                <c:pt idx="141">
                  <c:v>220.77544250385679</c:v>
                </c:pt>
                <c:pt idx="142">
                  <c:v>222.17979274756638</c:v>
                </c:pt>
                <c:pt idx="143">
                  <c:v>224.06152103001193</c:v>
                </c:pt>
                <c:pt idx="144">
                  <c:v>224.72922863143643</c:v>
                </c:pt>
                <c:pt idx="145">
                  <c:v>224.79862919787041</c:v>
                </c:pt>
                <c:pt idx="146">
                  <c:v>224.69894339622556</c:v>
                </c:pt>
                <c:pt idx="147">
                  <c:v>224.8166205176986</c:v>
                </c:pt>
                <c:pt idx="148">
                  <c:v>224.96302930459373</c:v>
                </c:pt>
                <c:pt idx="149">
                  <c:v>226.21410249471899</c:v>
                </c:pt>
                <c:pt idx="150">
                  <c:v>226.59224974866709</c:v>
                </c:pt>
                <c:pt idx="151">
                  <c:v>226.98972490209005</c:v>
                </c:pt>
                <c:pt idx="152">
                  <c:v>227.60763415847819</c:v>
                </c:pt>
                <c:pt idx="153">
                  <c:v>227.56846732881078</c:v>
                </c:pt>
                <c:pt idx="154">
                  <c:v>225.5346874975408</c:v>
                </c:pt>
                <c:pt idx="155">
                  <c:v>221.71612145647217</c:v>
                </c:pt>
                <c:pt idx="156">
                  <c:v>215.97963459205351</c:v>
                </c:pt>
                <c:pt idx="157">
                  <c:v>212.24274286349794</c:v>
                </c:pt>
                <c:pt idx="158">
                  <c:v>209.23772033591629</c:v>
                </c:pt>
                <c:pt idx="159">
                  <c:v>206.41922382211544</c:v>
                </c:pt>
                <c:pt idx="160">
                  <c:v>204.54262205707175</c:v>
                </c:pt>
                <c:pt idx="161">
                  <c:v>202.90115143928969</c:v>
                </c:pt>
                <c:pt idx="162">
                  <c:v>202.24085954957116</c:v>
                </c:pt>
                <c:pt idx="163">
                  <c:v>202.37315776547536</c:v>
                </c:pt>
                <c:pt idx="164">
                  <c:v>203.15435851957849</c:v>
                </c:pt>
                <c:pt idx="165">
                  <c:v>203.27816529164096</c:v>
                </c:pt>
                <c:pt idx="166">
                  <c:v>203.4607854745642</c:v>
                </c:pt>
                <c:pt idx="167">
                  <c:v>203.94309565330957</c:v>
                </c:pt>
                <c:pt idx="168">
                  <c:v>204.58292093642385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5E-764D-B0E8-E44FAEB5F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7302816"/>
        <c:axId val="247431504"/>
      </c:lineChart>
      <c:dateAx>
        <c:axId val="7173028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31504"/>
        <c:crosses val="autoZero"/>
        <c:auto val="1"/>
        <c:lblOffset val="100"/>
        <c:baseTimeUnit val="days"/>
      </c:dateAx>
      <c:valAx>
        <c:axId val="24743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30281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K%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 Q3 kD'!$A$15:$A$189</c:f>
              <c:numCache>
                <c:formatCode>m/d/yy</c:formatCode>
                <c:ptCount val="175"/>
                <c:pt idx="0">
                  <c:v>45492</c:v>
                </c:pt>
                <c:pt idx="1">
                  <c:v>45495</c:v>
                </c:pt>
                <c:pt idx="2">
                  <c:v>45496</c:v>
                </c:pt>
                <c:pt idx="3">
                  <c:v>45497</c:v>
                </c:pt>
                <c:pt idx="4">
                  <c:v>45498</c:v>
                </c:pt>
                <c:pt idx="5">
                  <c:v>45499</c:v>
                </c:pt>
                <c:pt idx="6">
                  <c:v>45502</c:v>
                </c:pt>
                <c:pt idx="7">
                  <c:v>45503</c:v>
                </c:pt>
                <c:pt idx="8">
                  <c:v>45504</c:v>
                </c:pt>
                <c:pt idx="9">
                  <c:v>45505</c:v>
                </c:pt>
                <c:pt idx="10">
                  <c:v>45506</c:v>
                </c:pt>
                <c:pt idx="11">
                  <c:v>45509</c:v>
                </c:pt>
                <c:pt idx="12">
                  <c:v>45510</c:v>
                </c:pt>
                <c:pt idx="13">
                  <c:v>45511</c:v>
                </c:pt>
                <c:pt idx="14">
                  <c:v>45512</c:v>
                </c:pt>
                <c:pt idx="15">
                  <c:v>45513</c:v>
                </c:pt>
                <c:pt idx="16">
                  <c:v>45516</c:v>
                </c:pt>
                <c:pt idx="17">
                  <c:v>45517</c:v>
                </c:pt>
                <c:pt idx="18">
                  <c:v>45518</c:v>
                </c:pt>
                <c:pt idx="19">
                  <c:v>45519</c:v>
                </c:pt>
                <c:pt idx="20">
                  <c:v>45520</c:v>
                </c:pt>
                <c:pt idx="21">
                  <c:v>45523</c:v>
                </c:pt>
                <c:pt idx="22">
                  <c:v>45524</c:v>
                </c:pt>
                <c:pt idx="23">
                  <c:v>45525</c:v>
                </c:pt>
                <c:pt idx="24">
                  <c:v>45526</c:v>
                </c:pt>
                <c:pt idx="25">
                  <c:v>45527</c:v>
                </c:pt>
                <c:pt idx="26">
                  <c:v>45530</c:v>
                </c:pt>
                <c:pt idx="27">
                  <c:v>45531</c:v>
                </c:pt>
                <c:pt idx="28">
                  <c:v>45532</c:v>
                </c:pt>
                <c:pt idx="29">
                  <c:v>45533</c:v>
                </c:pt>
                <c:pt idx="30">
                  <c:v>45534</c:v>
                </c:pt>
                <c:pt idx="31">
                  <c:v>45538</c:v>
                </c:pt>
                <c:pt idx="32">
                  <c:v>45539</c:v>
                </c:pt>
                <c:pt idx="33">
                  <c:v>45540</c:v>
                </c:pt>
                <c:pt idx="34">
                  <c:v>45541</c:v>
                </c:pt>
                <c:pt idx="35">
                  <c:v>45544</c:v>
                </c:pt>
                <c:pt idx="36">
                  <c:v>45545</c:v>
                </c:pt>
                <c:pt idx="37">
                  <c:v>45546</c:v>
                </c:pt>
                <c:pt idx="38">
                  <c:v>45547</c:v>
                </c:pt>
                <c:pt idx="39">
                  <c:v>45548</c:v>
                </c:pt>
                <c:pt idx="40">
                  <c:v>45551</c:v>
                </c:pt>
                <c:pt idx="41">
                  <c:v>45552</c:v>
                </c:pt>
                <c:pt idx="42">
                  <c:v>45553</c:v>
                </c:pt>
                <c:pt idx="43">
                  <c:v>45554</c:v>
                </c:pt>
                <c:pt idx="44">
                  <c:v>45555</c:v>
                </c:pt>
                <c:pt idx="45">
                  <c:v>45558</c:v>
                </c:pt>
                <c:pt idx="46">
                  <c:v>45559</c:v>
                </c:pt>
                <c:pt idx="47">
                  <c:v>45560</c:v>
                </c:pt>
                <c:pt idx="48">
                  <c:v>45561</c:v>
                </c:pt>
                <c:pt idx="49">
                  <c:v>45562</c:v>
                </c:pt>
                <c:pt idx="50">
                  <c:v>45565</c:v>
                </c:pt>
                <c:pt idx="51">
                  <c:v>45566</c:v>
                </c:pt>
                <c:pt idx="52">
                  <c:v>45567</c:v>
                </c:pt>
                <c:pt idx="53">
                  <c:v>45568</c:v>
                </c:pt>
                <c:pt idx="54">
                  <c:v>45569</c:v>
                </c:pt>
                <c:pt idx="55">
                  <c:v>45572</c:v>
                </c:pt>
                <c:pt idx="56">
                  <c:v>45573</c:v>
                </c:pt>
                <c:pt idx="57">
                  <c:v>45574</c:v>
                </c:pt>
                <c:pt idx="58">
                  <c:v>45575</c:v>
                </c:pt>
                <c:pt idx="59">
                  <c:v>45576</c:v>
                </c:pt>
                <c:pt idx="60">
                  <c:v>45579</c:v>
                </c:pt>
                <c:pt idx="61">
                  <c:v>45580</c:v>
                </c:pt>
                <c:pt idx="62">
                  <c:v>45581</c:v>
                </c:pt>
                <c:pt idx="63">
                  <c:v>45582</c:v>
                </c:pt>
                <c:pt idx="64">
                  <c:v>45583</c:v>
                </c:pt>
                <c:pt idx="65">
                  <c:v>45586</c:v>
                </c:pt>
                <c:pt idx="66">
                  <c:v>45587</c:v>
                </c:pt>
                <c:pt idx="67">
                  <c:v>45588</c:v>
                </c:pt>
                <c:pt idx="68">
                  <c:v>45589</c:v>
                </c:pt>
                <c:pt idx="69">
                  <c:v>45590</c:v>
                </c:pt>
                <c:pt idx="70">
                  <c:v>45593</c:v>
                </c:pt>
                <c:pt idx="71">
                  <c:v>45594</c:v>
                </c:pt>
                <c:pt idx="72">
                  <c:v>45595</c:v>
                </c:pt>
                <c:pt idx="73">
                  <c:v>45596</c:v>
                </c:pt>
                <c:pt idx="74">
                  <c:v>45597</c:v>
                </c:pt>
                <c:pt idx="75">
                  <c:v>45600</c:v>
                </c:pt>
                <c:pt idx="76">
                  <c:v>45601</c:v>
                </c:pt>
                <c:pt idx="77">
                  <c:v>45602</c:v>
                </c:pt>
                <c:pt idx="78">
                  <c:v>45603</c:v>
                </c:pt>
                <c:pt idx="79">
                  <c:v>45604</c:v>
                </c:pt>
                <c:pt idx="80">
                  <c:v>45607</c:v>
                </c:pt>
                <c:pt idx="81">
                  <c:v>45608</c:v>
                </c:pt>
                <c:pt idx="82">
                  <c:v>45609</c:v>
                </c:pt>
                <c:pt idx="83">
                  <c:v>45610</c:v>
                </c:pt>
                <c:pt idx="84">
                  <c:v>45611</c:v>
                </c:pt>
                <c:pt idx="85">
                  <c:v>45614</c:v>
                </c:pt>
                <c:pt idx="86">
                  <c:v>45615</c:v>
                </c:pt>
                <c:pt idx="87">
                  <c:v>45616</c:v>
                </c:pt>
                <c:pt idx="88">
                  <c:v>45617</c:v>
                </c:pt>
                <c:pt idx="89">
                  <c:v>45618</c:v>
                </c:pt>
                <c:pt idx="90">
                  <c:v>45621</c:v>
                </c:pt>
                <c:pt idx="91">
                  <c:v>45622</c:v>
                </c:pt>
                <c:pt idx="92">
                  <c:v>45623</c:v>
                </c:pt>
                <c:pt idx="93">
                  <c:v>45625</c:v>
                </c:pt>
                <c:pt idx="94">
                  <c:v>45628</c:v>
                </c:pt>
                <c:pt idx="95">
                  <c:v>45629</c:v>
                </c:pt>
                <c:pt idx="96">
                  <c:v>45630</c:v>
                </c:pt>
                <c:pt idx="97">
                  <c:v>45631</c:v>
                </c:pt>
                <c:pt idx="98">
                  <c:v>45632</c:v>
                </c:pt>
                <c:pt idx="99">
                  <c:v>45635</c:v>
                </c:pt>
                <c:pt idx="100">
                  <c:v>45636</c:v>
                </c:pt>
                <c:pt idx="101">
                  <c:v>45637</c:v>
                </c:pt>
                <c:pt idx="102">
                  <c:v>45638</c:v>
                </c:pt>
                <c:pt idx="103">
                  <c:v>45639</c:v>
                </c:pt>
                <c:pt idx="104">
                  <c:v>45642</c:v>
                </c:pt>
                <c:pt idx="105">
                  <c:v>45643</c:v>
                </c:pt>
                <c:pt idx="106">
                  <c:v>45644</c:v>
                </c:pt>
                <c:pt idx="107">
                  <c:v>45645</c:v>
                </c:pt>
                <c:pt idx="108">
                  <c:v>45646</c:v>
                </c:pt>
                <c:pt idx="109">
                  <c:v>45649</c:v>
                </c:pt>
                <c:pt idx="110">
                  <c:v>45650</c:v>
                </c:pt>
                <c:pt idx="111">
                  <c:v>45652</c:v>
                </c:pt>
                <c:pt idx="112">
                  <c:v>45653</c:v>
                </c:pt>
                <c:pt idx="113">
                  <c:v>45656</c:v>
                </c:pt>
                <c:pt idx="114">
                  <c:v>45657</c:v>
                </c:pt>
                <c:pt idx="115">
                  <c:v>45659</c:v>
                </c:pt>
                <c:pt idx="116">
                  <c:v>45660</c:v>
                </c:pt>
                <c:pt idx="117">
                  <c:v>45663</c:v>
                </c:pt>
                <c:pt idx="118">
                  <c:v>45664</c:v>
                </c:pt>
                <c:pt idx="119">
                  <c:v>45665</c:v>
                </c:pt>
                <c:pt idx="120">
                  <c:v>45667</c:v>
                </c:pt>
                <c:pt idx="121">
                  <c:v>45670</c:v>
                </c:pt>
                <c:pt idx="122">
                  <c:v>45671</c:v>
                </c:pt>
                <c:pt idx="123">
                  <c:v>45672</c:v>
                </c:pt>
                <c:pt idx="124">
                  <c:v>45673</c:v>
                </c:pt>
                <c:pt idx="125">
                  <c:v>45674</c:v>
                </c:pt>
                <c:pt idx="126">
                  <c:v>45678</c:v>
                </c:pt>
                <c:pt idx="127">
                  <c:v>45679</c:v>
                </c:pt>
                <c:pt idx="128">
                  <c:v>45680</c:v>
                </c:pt>
                <c:pt idx="129">
                  <c:v>45681</c:v>
                </c:pt>
                <c:pt idx="130">
                  <c:v>45684</c:v>
                </c:pt>
                <c:pt idx="131">
                  <c:v>45685</c:v>
                </c:pt>
                <c:pt idx="132">
                  <c:v>45686</c:v>
                </c:pt>
                <c:pt idx="133">
                  <c:v>45687</c:v>
                </c:pt>
                <c:pt idx="134">
                  <c:v>45688</c:v>
                </c:pt>
                <c:pt idx="135">
                  <c:v>45691</c:v>
                </c:pt>
                <c:pt idx="136">
                  <c:v>45692</c:v>
                </c:pt>
                <c:pt idx="137">
                  <c:v>45693</c:v>
                </c:pt>
                <c:pt idx="138">
                  <c:v>45694</c:v>
                </c:pt>
                <c:pt idx="139">
                  <c:v>45695</c:v>
                </c:pt>
                <c:pt idx="140">
                  <c:v>45698</c:v>
                </c:pt>
                <c:pt idx="141">
                  <c:v>45699</c:v>
                </c:pt>
                <c:pt idx="142">
                  <c:v>45700</c:v>
                </c:pt>
                <c:pt idx="143">
                  <c:v>45701</c:v>
                </c:pt>
                <c:pt idx="144">
                  <c:v>45702</c:v>
                </c:pt>
                <c:pt idx="145">
                  <c:v>45706</c:v>
                </c:pt>
                <c:pt idx="146">
                  <c:v>45707</c:v>
                </c:pt>
                <c:pt idx="147">
                  <c:v>45708</c:v>
                </c:pt>
                <c:pt idx="148">
                  <c:v>45709</c:v>
                </c:pt>
                <c:pt idx="149">
                  <c:v>45712</c:v>
                </c:pt>
                <c:pt idx="150">
                  <c:v>45713</c:v>
                </c:pt>
                <c:pt idx="151">
                  <c:v>45714</c:v>
                </c:pt>
                <c:pt idx="152">
                  <c:v>45715</c:v>
                </c:pt>
                <c:pt idx="153">
                  <c:v>45716</c:v>
                </c:pt>
                <c:pt idx="154">
                  <c:v>45719</c:v>
                </c:pt>
                <c:pt idx="155">
                  <c:v>45720</c:v>
                </c:pt>
                <c:pt idx="156">
                  <c:v>45721</c:v>
                </c:pt>
                <c:pt idx="157">
                  <c:v>45722</c:v>
                </c:pt>
                <c:pt idx="158">
                  <c:v>45723</c:v>
                </c:pt>
                <c:pt idx="159">
                  <c:v>45726</c:v>
                </c:pt>
                <c:pt idx="160">
                  <c:v>45727</c:v>
                </c:pt>
                <c:pt idx="161">
                  <c:v>45728</c:v>
                </c:pt>
                <c:pt idx="162">
                  <c:v>45729</c:v>
                </c:pt>
                <c:pt idx="163">
                  <c:v>45730</c:v>
                </c:pt>
                <c:pt idx="164">
                  <c:v>45733</c:v>
                </c:pt>
                <c:pt idx="165">
                  <c:v>45734</c:v>
                </c:pt>
                <c:pt idx="166">
                  <c:v>45735</c:v>
                </c:pt>
                <c:pt idx="167">
                  <c:v>45736</c:v>
                </c:pt>
                <c:pt idx="168">
                  <c:v>45737</c:v>
                </c:pt>
                <c:pt idx="169">
                  <c:v>45740</c:v>
                </c:pt>
                <c:pt idx="170">
                  <c:v>45741</c:v>
                </c:pt>
                <c:pt idx="171">
                  <c:v>45742</c:v>
                </c:pt>
                <c:pt idx="172">
                  <c:v>45743</c:v>
                </c:pt>
                <c:pt idx="173">
                  <c:v>45744</c:v>
                </c:pt>
                <c:pt idx="174">
                  <c:v>45747</c:v>
                </c:pt>
              </c:numCache>
            </c:numRef>
          </c:cat>
          <c:val>
            <c:numRef>
              <c:f>' Q3 kD'!$C$15:$C$189</c:f>
              <c:numCache>
                <c:formatCode>General</c:formatCode>
                <c:ptCount val="175"/>
                <c:pt idx="0">
                  <c:v>41.837299391256252</c:v>
                </c:pt>
                <c:pt idx="1">
                  <c:v>25.360824742268058</c:v>
                </c:pt>
                <c:pt idx="2">
                  <c:v>26.073850791258359</c:v>
                </c:pt>
                <c:pt idx="3">
                  <c:v>0</c:v>
                </c:pt>
                <c:pt idx="4">
                  <c:v>0</c:v>
                </c:pt>
                <c:pt idx="5">
                  <c:v>2.712060011540677</c:v>
                </c:pt>
                <c:pt idx="6">
                  <c:v>4.3277553375649198</c:v>
                </c:pt>
                <c:pt idx="7">
                  <c:v>7.5591459896134072</c:v>
                </c:pt>
                <c:pt idx="8">
                  <c:v>26.485862665897329</c:v>
                </c:pt>
                <c:pt idx="9">
                  <c:v>5.0201961915753337</c:v>
                </c:pt>
                <c:pt idx="10">
                  <c:v>13.675706866705175</c:v>
                </c:pt>
                <c:pt idx="11">
                  <c:v>0</c:v>
                </c:pt>
                <c:pt idx="12">
                  <c:v>0</c:v>
                </c:pt>
                <c:pt idx="13">
                  <c:v>14.566929133858286</c:v>
                </c:pt>
                <c:pt idx="14">
                  <c:v>34.195725534308281</c:v>
                </c:pt>
                <c:pt idx="15">
                  <c:v>50.674915635545659</c:v>
                </c:pt>
                <c:pt idx="16">
                  <c:v>69.360269360269328</c:v>
                </c:pt>
                <c:pt idx="17">
                  <c:v>94.545454545454547</c:v>
                </c:pt>
                <c:pt idx="18">
                  <c:v>97.575757575757478</c:v>
                </c:pt>
                <c:pt idx="19">
                  <c:v>100</c:v>
                </c:pt>
                <c:pt idx="20">
                  <c:v>100</c:v>
                </c:pt>
                <c:pt idx="21">
                  <c:v>99.149840595111442</c:v>
                </c:pt>
                <c:pt idx="22">
                  <c:v>100</c:v>
                </c:pt>
                <c:pt idx="23">
                  <c:v>99.429460580912945</c:v>
                </c:pt>
                <c:pt idx="24">
                  <c:v>89.73029045643159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86.938083121289296</c:v>
                </c:pt>
                <c:pt idx="29">
                  <c:v>100</c:v>
                </c:pt>
                <c:pt idx="30">
                  <c:v>90.727699530516503</c:v>
                </c:pt>
                <c:pt idx="31">
                  <c:v>13.01115241635703</c:v>
                </c:pt>
                <c:pt idx="32">
                  <c:v>0</c:v>
                </c:pt>
                <c:pt idx="33">
                  <c:v>17.114093959731562</c:v>
                </c:pt>
                <c:pt idx="34">
                  <c:v>0</c:v>
                </c:pt>
                <c:pt idx="35">
                  <c:v>1.0033444816053894</c:v>
                </c:pt>
                <c:pt idx="36">
                  <c:v>0</c:v>
                </c:pt>
                <c:pt idx="37">
                  <c:v>26.342975206611452</c:v>
                </c:pt>
                <c:pt idx="38">
                  <c:v>27.479338842975231</c:v>
                </c:pt>
                <c:pt idx="39">
                  <c:v>24.690082644628013</c:v>
                </c:pt>
                <c:pt idx="40">
                  <c:v>0</c:v>
                </c:pt>
                <c:pt idx="41">
                  <c:v>3.4892353377876684</c:v>
                </c:pt>
                <c:pt idx="42">
                  <c:v>32.442464736451413</c:v>
                </c:pt>
                <c:pt idx="43">
                  <c:v>98.974763406940099</c:v>
                </c:pt>
                <c:pt idx="44">
                  <c:v>94.66135458167318</c:v>
                </c:pt>
                <c:pt idx="45">
                  <c:v>80.876494023904357</c:v>
                </c:pt>
                <c:pt idx="46">
                  <c:v>88.047808764940243</c:v>
                </c:pt>
                <c:pt idx="47">
                  <c:v>80.079681274900423</c:v>
                </c:pt>
                <c:pt idx="48">
                  <c:v>89.243027888446264</c:v>
                </c:pt>
                <c:pt idx="49">
                  <c:v>91.39442231075688</c:v>
                </c:pt>
                <c:pt idx="50">
                  <c:v>100</c:v>
                </c:pt>
                <c:pt idx="51">
                  <c:v>59.292565947242274</c:v>
                </c:pt>
                <c:pt idx="52">
                  <c:v>62.70983213429259</c:v>
                </c:pt>
                <c:pt idx="53">
                  <c:v>56.055155875299704</c:v>
                </c:pt>
                <c:pt idx="54">
                  <c:v>61.752004935225258</c:v>
                </c:pt>
                <c:pt idx="55">
                  <c:v>8.1234768480909807</c:v>
                </c:pt>
                <c:pt idx="56">
                  <c:v>36.07427055702928</c:v>
                </c:pt>
                <c:pt idx="57">
                  <c:v>69.407603890362452</c:v>
                </c:pt>
                <c:pt idx="58">
                  <c:v>64.98673740053043</c:v>
                </c:pt>
                <c:pt idx="59">
                  <c:v>51.812555260831225</c:v>
                </c:pt>
                <c:pt idx="60">
                  <c:v>84.969053934571278</c:v>
                </c:pt>
                <c:pt idx="61">
                  <c:v>100</c:v>
                </c:pt>
                <c:pt idx="62">
                  <c:v>82.976973684210577</c:v>
                </c:pt>
                <c:pt idx="63">
                  <c:v>86.01973684210536</c:v>
                </c:pt>
                <c:pt idx="64">
                  <c:v>100</c:v>
                </c:pt>
                <c:pt idx="65">
                  <c:v>100</c:v>
                </c:pt>
                <c:pt idx="66">
                  <c:v>95.80797836375946</c:v>
                </c:pt>
                <c:pt idx="67">
                  <c:v>61.325219743069624</c:v>
                </c:pt>
                <c:pt idx="68">
                  <c:v>60.040567951318458</c:v>
                </c:pt>
                <c:pt idx="69">
                  <c:v>52.661064425770277</c:v>
                </c:pt>
                <c:pt idx="70">
                  <c:v>65.50951847704377</c:v>
                </c:pt>
                <c:pt idx="71">
                  <c:v>68.533034714445591</c:v>
                </c:pt>
                <c:pt idx="72">
                  <c:v>28.555431131018917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9.9516240497581059</c:v>
                </c:pt>
                <c:pt idx="77">
                  <c:v>4.9067035245335733</c:v>
                </c:pt>
                <c:pt idx="78">
                  <c:v>37.802349689011741</c:v>
                </c:pt>
                <c:pt idx="79">
                  <c:v>35.740072202166132</c:v>
                </c:pt>
                <c:pt idx="80">
                  <c:v>19.039451114922809</c:v>
                </c:pt>
                <c:pt idx="81">
                  <c:v>19.039451114922809</c:v>
                </c:pt>
                <c:pt idx="82">
                  <c:v>26.672384219554157</c:v>
                </c:pt>
                <c:pt idx="83">
                  <c:v>53.25900514579768</c:v>
                </c:pt>
                <c:pt idx="84">
                  <c:v>25.643224699828558</c:v>
                </c:pt>
                <c:pt idx="85">
                  <c:v>74.289245982694894</c:v>
                </c:pt>
                <c:pt idx="86">
                  <c:v>100</c:v>
                </c:pt>
                <c:pt idx="87">
                  <c:v>100</c:v>
                </c:pt>
                <c:pt idx="88">
                  <c:v>93.133047210300575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98.799630655586384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98.668442077230438</c:v>
                </c:pt>
                <c:pt idx="99">
                  <c:v>100</c:v>
                </c:pt>
                <c:pt idx="100">
                  <c:v>100</c:v>
                </c:pt>
                <c:pt idx="101">
                  <c:v>93.350649350649334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66.377708978328258</c:v>
                </c:pt>
                <c:pt idx="107">
                  <c:v>73.434125269978395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72.625698324022466</c:v>
                </c:pt>
                <c:pt idx="113">
                  <c:v>45.57063048683154</c:v>
                </c:pt>
                <c:pt idx="114">
                  <c:v>31.364724660813941</c:v>
                </c:pt>
                <c:pt idx="115">
                  <c:v>0</c:v>
                </c:pt>
                <c:pt idx="116">
                  <c:v>0</c:v>
                </c:pt>
                <c:pt idx="117">
                  <c:v>10.4725415070242</c:v>
                </c:pt>
                <c:pt idx="118">
                  <c:v>0</c:v>
                </c:pt>
                <c:pt idx="119">
                  <c:v>2.914931588340163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17.832167832167858</c:v>
                </c:pt>
                <c:pt idx="124">
                  <c:v>0</c:v>
                </c:pt>
                <c:pt idx="125">
                  <c:v>6.2934504207830155</c:v>
                </c:pt>
                <c:pt idx="126">
                  <c:v>0</c:v>
                </c:pt>
                <c:pt idx="127">
                  <c:v>4.2836573074155009</c:v>
                </c:pt>
                <c:pt idx="128">
                  <c:v>4.5617173524150703</c:v>
                </c:pt>
                <c:pt idx="129">
                  <c:v>0.62611806797859881</c:v>
                </c:pt>
                <c:pt idx="130">
                  <c:v>32.289803220035878</c:v>
                </c:pt>
                <c:pt idx="131">
                  <c:v>77.866400797607199</c:v>
                </c:pt>
                <c:pt idx="132">
                  <c:v>83.349950149551475</c:v>
                </c:pt>
                <c:pt idx="133">
                  <c:v>89.413875598086079</c:v>
                </c:pt>
                <c:pt idx="134">
                  <c:v>79.904306220095648</c:v>
                </c:pt>
                <c:pt idx="135">
                  <c:v>32.11722488038275</c:v>
                </c:pt>
                <c:pt idx="136">
                  <c:v>60.7655502392345</c:v>
                </c:pt>
                <c:pt idx="137">
                  <c:v>58.791866028708114</c:v>
                </c:pt>
                <c:pt idx="138">
                  <c:v>63.277511961722453</c:v>
                </c:pt>
                <c:pt idx="139">
                  <c:v>29.844497607655505</c:v>
                </c:pt>
                <c:pt idx="140">
                  <c:v>29.372738238841983</c:v>
                </c:pt>
                <c:pt idx="141">
                  <c:v>59.348612786489717</c:v>
                </c:pt>
                <c:pt idx="142">
                  <c:v>84.981905910735776</c:v>
                </c:pt>
                <c:pt idx="143">
                  <c:v>100</c:v>
                </c:pt>
                <c:pt idx="144">
                  <c:v>100</c:v>
                </c:pt>
                <c:pt idx="145">
                  <c:v>99.233942251031266</c:v>
                </c:pt>
                <c:pt idx="146">
                  <c:v>100</c:v>
                </c:pt>
                <c:pt idx="147">
                  <c:v>100</c:v>
                </c:pt>
                <c:pt idx="148">
                  <c:v>98.461538461538453</c:v>
                </c:pt>
                <c:pt idx="149">
                  <c:v>100</c:v>
                </c:pt>
                <c:pt idx="150">
                  <c:v>99.691833590138671</c:v>
                </c:pt>
                <c:pt idx="151">
                  <c:v>65.382639958911241</c:v>
                </c:pt>
                <c:pt idx="152">
                  <c:v>49.666153055983649</c:v>
                </c:pt>
                <c:pt idx="153">
                  <c:v>72.956298200514169</c:v>
                </c:pt>
                <c:pt idx="154">
                  <c:v>37.361878453038678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31.775700934579326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10.198072805139196</c:v>
                </c:pt>
                <c:pt idx="164">
                  <c:v>13.432835820895503</c:v>
                </c:pt>
                <c:pt idx="165">
                  <c:v>9.3594527363183815</c:v>
                </c:pt>
                <c:pt idx="166">
                  <c:v>17.288557213930357</c:v>
                </c:pt>
                <c:pt idx="167">
                  <c:v>15.03912895542698</c:v>
                </c:pt>
                <c:pt idx="168">
                  <c:v>29.227628445049366</c:v>
                </c:pt>
                <c:pt idx="169">
                  <c:v>37.597822388567501</c:v>
                </c:pt>
                <c:pt idx="170">
                  <c:v>47.873426335488261</c:v>
                </c:pt>
                <c:pt idx="171">
                  <c:v>40.319836679142561</c:v>
                </c:pt>
                <c:pt idx="172">
                  <c:v>79.606741573033716</c:v>
                </c:pt>
                <c:pt idx="173">
                  <c:v>58.0098800282287</c:v>
                </c:pt>
                <c:pt idx="174">
                  <c:v>87.861679604798866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6B-C949-B1D5-7DE411BCF7B4}"/>
            </c:ext>
          </c:extLst>
        </c:ser>
        <c:ser>
          <c:idx val="2"/>
          <c:order val="1"/>
          <c:tx>
            <c:v>%D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 Q3 kD'!$A$15:$A$189</c:f>
              <c:numCache>
                <c:formatCode>m/d/yy</c:formatCode>
                <c:ptCount val="175"/>
                <c:pt idx="0">
                  <c:v>45492</c:v>
                </c:pt>
                <c:pt idx="1">
                  <c:v>45495</c:v>
                </c:pt>
                <c:pt idx="2">
                  <c:v>45496</c:v>
                </c:pt>
                <c:pt idx="3">
                  <c:v>45497</c:v>
                </c:pt>
                <c:pt idx="4">
                  <c:v>45498</c:v>
                </c:pt>
                <c:pt idx="5">
                  <c:v>45499</c:v>
                </c:pt>
                <c:pt idx="6">
                  <c:v>45502</c:v>
                </c:pt>
                <c:pt idx="7">
                  <c:v>45503</c:v>
                </c:pt>
                <c:pt idx="8">
                  <c:v>45504</c:v>
                </c:pt>
                <c:pt idx="9">
                  <c:v>45505</c:v>
                </c:pt>
                <c:pt idx="10">
                  <c:v>45506</c:v>
                </c:pt>
                <c:pt idx="11">
                  <c:v>45509</c:v>
                </c:pt>
                <c:pt idx="12">
                  <c:v>45510</c:v>
                </c:pt>
                <c:pt idx="13">
                  <c:v>45511</c:v>
                </c:pt>
                <c:pt idx="14">
                  <c:v>45512</c:v>
                </c:pt>
                <c:pt idx="15">
                  <c:v>45513</c:v>
                </c:pt>
                <c:pt idx="16">
                  <c:v>45516</c:v>
                </c:pt>
                <c:pt idx="17">
                  <c:v>45517</c:v>
                </c:pt>
                <c:pt idx="18">
                  <c:v>45518</c:v>
                </c:pt>
                <c:pt idx="19">
                  <c:v>45519</c:v>
                </c:pt>
                <c:pt idx="20">
                  <c:v>45520</c:v>
                </c:pt>
                <c:pt idx="21">
                  <c:v>45523</c:v>
                </c:pt>
                <c:pt idx="22">
                  <c:v>45524</c:v>
                </c:pt>
                <c:pt idx="23">
                  <c:v>45525</c:v>
                </c:pt>
                <c:pt idx="24">
                  <c:v>45526</c:v>
                </c:pt>
                <c:pt idx="25">
                  <c:v>45527</c:v>
                </c:pt>
                <c:pt idx="26">
                  <c:v>45530</c:v>
                </c:pt>
                <c:pt idx="27">
                  <c:v>45531</c:v>
                </c:pt>
                <c:pt idx="28">
                  <c:v>45532</c:v>
                </c:pt>
                <c:pt idx="29">
                  <c:v>45533</c:v>
                </c:pt>
                <c:pt idx="30">
                  <c:v>45534</c:v>
                </c:pt>
                <c:pt idx="31">
                  <c:v>45538</c:v>
                </c:pt>
                <c:pt idx="32">
                  <c:v>45539</c:v>
                </c:pt>
                <c:pt idx="33">
                  <c:v>45540</c:v>
                </c:pt>
                <c:pt idx="34">
                  <c:v>45541</c:v>
                </c:pt>
                <c:pt idx="35">
                  <c:v>45544</c:v>
                </c:pt>
                <c:pt idx="36">
                  <c:v>45545</c:v>
                </c:pt>
                <c:pt idx="37">
                  <c:v>45546</c:v>
                </c:pt>
                <c:pt idx="38">
                  <c:v>45547</c:v>
                </c:pt>
                <c:pt idx="39">
                  <c:v>45548</c:v>
                </c:pt>
                <c:pt idx="40">
                  <c:v>45551</c:v>
                </c:pt>
                <c:pt idx="41">
                  <c:v>45552</c:v>
                </c:pt>
                <c:pt idx="42">
                  <c:v>45553</c:v>
                </c:pt>
                <c:pt idx="43">
                  <c:v>45554</c:v>
                </c:pt>
                <c:pt idx="44">
                  <c:v>45555</c:v>
                </c:pt>
                <c:pt idx="45">
                  <c:v>45558</c:v>
                </c:pt>
                <c:pt idx="46">
                  <c:v>45559</c:v>
                </c:pt>
                <c:pt idx="47">
                  <c:v>45560</c:v>
                </c:pt>
                <c:pt idx="48">
                  <c:v>45561</c:v>
                </c:pt>
                <c:pt idx="49">
                  <c:v>45562</c:v>
                </c:pt>
                <c:pt idx="50">
                  <c:v>45565</c:v>
                </c:pt>
                <c:pt idx="51">
                  <c:v>45566</c:v>
                </c:pt>
                <c:pt idx="52">
                  <c:v>45567</c:v>
                </c:pt>
                <c:pt idx="53">
                  <c:v>45568</c:v>
                </c:pt>
                <c:pt idx="54">
                  <c:v>45569</c:v>
                </c:pt>
                <c:pt idx="55">
                  <c:v>45572</c:v>
                </c:pt>
                <c:pt idx="56">
                  <c:v>45573</c:v>
                </c:pt>
                <c:pt idx="57">
                  <c:v>45574</c:v>
                </c:pt>
                <c:pt idx="58">
                  <c:v>45575</c:v>
                </c:pt>
                <c:pt idx="59">
                  <c:v>45576</c:v>
                </c:pt>
                <c:pt idx="60">
                  <c:v>45579</c:v>
                </c:pt>
                <c:pt idx="61">
                  <c:v>45580</c:v>
                </c:pt>
                <c:pt idx="62">
                  <c:v>45581</c:v>
                </c:pt>
                <c:pt idx="63">
                  <c:v>45582</c:v>
                </c:pt>
                <c:pt idx="64">
                  <c:v>45583</c:v>
                </c:pt>
                <c:pt idx="65">
                  <c:v>45586</c:v>
                </c:pt>
                <c:pt idx="66">
                  <c:v>45587</c:v>
                </c:pt>
                <c:pt idx="67">
                  <c:v>45588</c:v>
                </c:pt>
                <c:pt idx="68">
                  <c:v>45589</c:v>
                </c:pt>
                <c:pt idx="69">
                  <c:v>45590</c:v>
                </c:pt>
                <c:pt idx="70">
                  <c:v>45593</c:v>
                </c:pt>
                <c:pt idx="71">
                  <c:v>45594</c:v>
                </c:pt>
                <c:pt idx="72">
                  <c:v>45595</c:v>
                </c:pt>
                <c:pt idx="73">
                  <c:v>45596</c:v>
                </c:pt>
                <c:pt idx="74">
                  <c:v>45597</c:v>
                </c:pt>
                <c:pt idx="75">
                  <c:v>45600</c:v>
                </c:pt>
                <c:pt idx="76">
                  <c:v>45601</c:v>
                </c:pt>
                <c:pt idx="77">
                  <c:v>45602</c:v>
                </c:pt>
                <c:pt idx="78">
                  <c:v>45603</c:v>
                </c:pt>
                <c:pt idx="79">
                  <c:v>45604</c:v>
                </c:pt>
                <c:pt idx="80">
                  <c:v>45607</c:v>
                </c:pt>
                <c:pt idx="81">
                  <c:v>45608</c:v>
                </c:pt>
                <c:pt idx="82">
                  <c:v>45609</c:v>
                </c:pt>
                <c:pt idx="83">
                  <c:v>45610</c:v>
                </c:pt>
                <c:pt idx="84">
                  <c:v>45611</c:v>
                </c:pt>
                <c:pt idx="85">
                  <c:v>45614</c:v>
                </c:pt>
                <c:pt idx="86">
                  <c:v>45615</c:v>
                </c:pt>
                <c:pt idx="87">
                  <c:v>45616</c:v>
                </c:pt>
                <c:pt idx="88">
                  <c:v>45617</c:v>
                </c:pt>
                <c:pt idx="89">
                  <c:v>45618</c:v>
                </c:pt>
                <c:pt idx="90">
                  <c:v>45621</c:v>
                </c:pt>
                <c:pt idx="91">
                  <c:v>45622</c:v>
                </c:pt>
                <c:pt idx="92">
                  <c:v>45623</c:v>
                </c:pt>
                <c:pt idx="93">
                  <c:v>45625</c:v>
                </c:pt>
                <c:pt idx="94">
                  <c:v>45628</c:v>
                </c:pt>
                <c:pt idx="95">
                  <c:v>45629</c:v>
                </c:pt>
                <c:pt idx="96">
                  <c:v>45630</c:v>
                </c:pt>
                <c:pt idx="97">
                  <c:v>45631</c:v>
                </c:pt>
                <c:pt idx="98">
                  <c:v>45632</c:v>
                </c:pt>
                <c:pt idx="99">
                  <c:v>45635</c:v>
                </c:pt>
                <c:pt idx="100">
                  <c:v>45636</c:v>
                </c:pt>
                <c:pt idx="101">
                  <c:v>45637</c:v>
                </c:pt>
                <c:pt idx="102">
                  <c:v>45638</c:v>
                </c:pt>
                <c:pt idx="103">
                  <c:v>45639</c:v>
                </c:pt>
                <c:pt idx="104">
                  <c:v>45642</c:v>
                </c:pt>
                <c:pt idx="105">
                  <c:v>45643</c:v>
                </c:pt>
                <c:pt idx="106">
                  <c:v>45644</c:v>
                </c:pt>
                <c:pt idx="107">
                  <c:v>45645</c:v>
                </c:pt>
                <c:pt idx="108">
                  <c:v>45646</c:v>
                </c:pt>
                <c:pt idx="109">
                  <c:v>45649</c:v>
                </c:pt>
                <c:pt idx="110">
                  <c:v>45650</c:v>
                </c:pt>
                <c:pt idx="111">
                  <c:v>45652</c:v>
                </c:pt>
                <c:pt idx="112">
                  <c:v>45653</c:v>
                </c:pt>
                <c:pt idx="113">
                  <c:v>45656</c:v>
                </c:pt>
                <c:pt idx="114">
                  <c:v>45657</c:v>
                </c:pt>
                <c:pt idx="115">
                  <c:v>45659</c:v>
                </c:pt>
                <c:pt idx="116">
                  <c:v>45660</c:v>
                </c:pt>
                <c:pt idx="117">
                  <c:v>45663</c:v>
                </c:pt>
                <c:pt idx="118">
                  <c:v>45664</c:v>
                </c:pt>
                <c:pt idx="119">
                  <c:v>45665</c:v>
                </c:pt>
                <c:pt idx="120">
                  <c:v>45667</c:v>
                </c:pt>
                <c:pt idx="121">
                  <c:v>45670</c:v>
                </c:pt>
                <c:pt idx="122">
                  <c:v>45671</c:v>
                </c:pt>
                <c:pt idx="123">
                  <c:v>45672</c:v>
                </c:pt>
                <c:pt idx="124">
                  <c:v>45673</c:v>
                </c:pt>
                <c:pt idx="125">
                  <c:v>45674</c:v>
                </c:pt>
                <c:pt idx="126">
                  <c:v>45678</c:v>
                </c:pt>
                <c:pt idx="127">
                  <c:v>45679</c:v>
                </c:pt>
                <c:pt idx="128">
                  <c:v>45680</c:v>
                </c:pt>
                <c:pt idx="129">
                  <c:v>45681</c:v>
                </c:pt>
                <c:pt idx="130">
                  <c:v>45684</c:v>
                </c:pt>
                <c:pt idx="131">
                  <c:v>45685</c:v>
                </c:pt>
                <c:pt idx="132">
                  <c:v>45686</c:v>
                </c:pt>
                <c:pt idx="133">
                  <c:v>45687</c:v>
                </c:pt>
                <c:pt idx="134">
                  <c:v>45688</c:v>
                </c:pt>
                <c:pt idx="135">
                  <c:v>45691</c:v>
                </c:pt>
                <c:pt idx="136">
                  <c:v>45692</c:v>
                </c:pt>
                <c:pt idx="137">
                  <c:v>45693</c:v>
                </c:pt>
                <c:pt idx="138">
                  <c:v>45694</c:v>
                </c:pt>
                <c:pt idx="139">
                  <c:v>45695</c:v>
                </c:pt>
                <c:pt idx="140">
                  <c:v>45698</c:v>
                </c:pt>
                <c:pt idx="141">
                  <c:v>45699</c:v>
                </c:pt>
                <c:pt idx="142">
                  <c:v>45700</c:v>
                </c:pt>
                <c:pt idx="143">
                  <c:v>45701</c:v>
                </c:pt>
                <c:pt idx="144">
                  <c:v>45702</c:v>
                </c:pt>
                <c:pt idx="145">
                  <c:v>45706</c:v>
                </c:pt>
                <c:pt idx="146">
                  <c:v>45707</c:v>
                </c:pt>
                <c:pt idx="147">
                  <c:v>45708</c:v>
                </c:pt>
                <c:pt idx="148">
                  <c:v>45709</c:v>
                </c:pt>
                <c:pt idx="149">
                  <c:v>45712</c:v>
                </c:pt>
                <c:pt idx="150">
                  <c:v>45713</c:v>
                </c:pt>
                <c:pt idx="151">
                  <c:v>45714</c:v>
                </c:pt>
                <c:pt idx="152">
                  <c:v>45715</c:v>
                </c:pt>
                <c:pt idx="153">
                  <c:v>45716</c:v>
                </c:pt>
                <c:pt idx="154">
                  <c:v>45719</c:v>
                </c:pt>
                <c:pt idx="155">
                  <c:v>45720</c:v>
                </c:pt>
                <c:pt idx="156">
                  <c:v>45721</c:v>
                </c:pt>
                <c:pt idx="157">
                  <c:v>45722</c:v>
                </c:pt>
                <c:pt idx="158">
                  <c:v>45723</c:v>
                </c:pt>
                <c:pt idx="159">
                  <c:v>45726</c:v>
                </c:pt>
                <c:pt idx="160">
                  <c:v>45727</c:v>
                </c:pt>
                <c:pt idx="161">
                  <c:v>45728</c:v>
                </c:pt>
                <c:pt idx="162">
                  <c:v>45729</c:v>
                </c:pt>
                <c:pt idx="163">
                  <c:v>45730</c:v>
                </c:pt>
                <c:pt idx="164">
                  <c:v>45733</c:v>
                </c:pt>
                <c:pt idx="165">
                  <c:v>45734</c:v>
                </c:pt>
                <c:pt idx="166">
                  <c:v>45735</c:v>
                </c:pt>
                <c:pt idx="167">
                  <c:v>45736</c:v>
                </c:pt>
                <c:pt idx="168">
                  <c:v>45737</c:v>
                </c:pt>
                <c:pt idx="169">
                  <c:v>45740</c:v>
                </c:pt>
                <c:pt idx="170">
                  <c:v>45741</c:v>
                </c:pt>
                <c:pt idx="171">
                  <c:v>45742</c:v>
                </c:pt>
                <c:pt idx="172">
                  <c:v>45743</c:v>
                </c:pt>
                <c:pt idx="173">
                  <c:v>45744</c:v>
                </c:pt>
                <c:pt idx="174">
                  <c:v>45747</c:v>
                </c:pt>
              </c:numCache>
            </c:numRef>
          </c:cat>
          <c:val>
            <c:numRef>
              <c:f>' Q3 kD'!$D$17:$D$189</c:f>
              <c:numCache>
                <c:formatCode>General</c:formatCode>
                <c:ptCount val="173"/>
                <c:pt idx="0">
                  <c:v>31.090658308260895</c:v>
                </c:pt>
                <c:pt idx="1">
                  <c:v>17.144891844508805</c:v>
                </c:pt>
                <c:pt idx="2">
                  <c:v>8.6912835970861195</c:v>
                </c:pt>
                <c:pt idx="3">
                  <c:v>0.90402000384689229</c:v>
                </c:pt>
                <c:pt idx="4">
                  <c:v>2.3466051163685324</c:v>
                </c:pt>
                <c:pt idx="5">
                  <c:v>4.8663204462396683</c:v>
                </c:pt>
                <c:pt idx="6">
                  <c:v>12.790921331025219</c:v>
                </c:pt>
                <c:pt idx="7">
                  <c:v>13.021734949028689</c:v>
                </c:pt>
                <c:pt idx="8">
                  <c:v>15.060588574725946</c:v>
                </c:pt>
                <c:pt idx="9">
                  <c:v>6.231967686093502</c:v>
                </c:pt>
                <c:pt idx="10">
                  <c:v>4.5585689555683917</c:v>
                </c:pt>
                <c:pt idx="11">
                  <c:v>4.8556430446194287</c:v>
                </c:pt>
                <c:pt idx="12">
                  <c:v>16.254218222722191</c:v>
                </c:pt>
                <c:pt idx="13">
                  <c:v>33.145856767904071</c:v>
                </c:pt>
                <c:pt idx="14">
                  <c:v>51.410303510041082</c:v>
                </c:pt>
                <c:pt idx="15">
                  <c:v>71.526879847089845</c:v>
                </c:pt>
                <c:pt idx="16">
                  <c:v>87.160493827160451</c:v>
                </c:pt>
                <c:pt idx="17">
                  <c:v>97.373737373737342</c:v>
                </c:pt>
                <c:pt idx="18">
                  <c:v>99.191919191919169</c:v>
                </c:pt>
                <c:pt idx="19">
                  <c:v>99.7166135317038</c:v>
                </c:pt>
                <c:pt idx="20">
                  <c:v>99.7166135317038</c:v>
                </c:pt>
                <c:pt idx="21">
                  <c:v>99.526433725341462</c:v>
                </c:pt>
                <c:pt idx="22">
                  <c:v>96.38658367911485</c:v>
                </c:pt>
                <c:pt idx="23">
                  <c:v>96.38658367911485</c:v>
                </c:pt>
                <c:pt idx="24">
                  <c:v>96.576763485477201</c:v>
                </c:pt>
                <c:pt idx="25">
                  <c:v>100</c:v>
                </c:pt>
                <c:pt idx="26">
                  <c:v>95.646027707096437</c:v>
                </c:pt>
                <c:pt idx="27">
                  <c:v>95.646027707096437</c:v>
                </c:pt>
                <c:pt idx="28">
                  <c:v>92.555260883935262</c:v>
                </c:pt>
                <c:pt idx="29">
                  <c:v>67.912950648957846</c:v>
                </c:pt>
                <c:pt idx="30">
                  <c:v>34.57961731562451</c:v>
                </c:pt>
                <c:pt idx="31">
                  <c:v>10.04174879202953</c:v>
                </c:pt>
                <c:pt idx="32">
                  <c:v>5.7046979865771874</c:v>
                </c:pt>
                <c:pt idx="33">
                  <c:v>6.0391461471123167</c:v>
                </c:pt>
                <c:pt idx="34">
                  <c:v>0.33444816053512977</c:v>
                </c:pt>
                <c:pt idx="35">
                  <c:v>9.1154398960722798</c:v>
                </c:pt>
                <c:pt idx="36">
                  <c:v>17.940771349862228</c:v>
                </c:pt>
                <c:pt idx="37">
                  <c:v>26.170798898071563</c:v>
                </c:pt>
                <c:pt idx="38">
                  <c:v>17.389807162534414</c:v>
                </c:pt>
                <c:pt idx="39">
                  <c:v>9.3931059941385602</c:v>
                </c:pt>
                <c:pt idx="40">
                  <c:v>11.977233358079694</c:v>
                </c:pt>
                <c:pt idx="41">
                  <c:v>44.968821160393055</c:v>
                </c:pt>
                <c:pt idx="42">
                  <c:v>75.359527575021573</c:v>
                </c:pt>
                <c:pt idx="43">
                  <c:v>91.50420400417255</c:v>
                </c:pt>
                <c:pt idx="44">
                  <c:v>87.861885790172593</c:v>
                </c:pt>
                <c:pt idx="45">
                  <c:v>83.001328021248341</c:v>
                </c:pt>
                <c:pt idx="46">
                  <c:v>85.7901726427623</c:v>
                </c:pt>
                <c:pt idx="47">
                  <c:v>86.905710491367856</c:v>
                </c:pt>
                <c:pt idx="48">
                  <c:v>93.545816733067724</c:v>
                </c:pt>
                <c:pt idx="49">
                  <c:v>83.562329419333054</c:v>
                </c:pt>
                <c:pt idx="50">
                  <c:v>74.000799360511621</c:v>
                </c:pt>
                <c:pt idx="51">
                  <c:v>59.35251798561152</c:v>
                </c:pt>
                <c:pt idx="52">
                  <c:v>60.172330981605853</c:v>
                </c:pt>
                <c:pt idx="53">
                  <c:v>41.976879219538652</c:v>
                </c:pt>
                <c:pt idx="54">
                  <c:v>35.316584113448506</c:v>
                </c:pt>
                <c:pt idx="55">
                  <c:v>37.868450431827569</c:v>
                </c:pt>
                <c:pt idx="56">
                  <c:v>56.822870615974047</c:v>
                </c:pt>
                <c:pt idx="57">
                  <c:v>62.068965517241374</c:v>
                </c:pt>
                <c:pt idx="58">
                  <c:v>67.256115531977642</c:v>
                </c:pt>
                <c:pt idx="59">
                  <c:v>78.927203065134165</c:v>
                </c:pt>
                <c:pt idx="60">
                  <c:v>89.315342539593942</c:v>
                </c:pt>
                <c:pt idx="61">
                  <c:v>89.665570175438646</c:v>
                </c:pt>
                <c:pt idx="62">
                  <c:v>89.665570175438646</c:v>
                </c:pt>
                <c:pt idx="63">
                  <c:v>95.339912280701796</c:v>
                </c:pt>
                <c:pt idx="64">
                  <c:v>98.602659454586487</c:v>
                </c:pt>
                <c:pt idx="65">
                  <c:v>85.71106603560969</c:v>
                </c:pt>
                <c:pt idx="66">
                  <c:v>72.391255352715845</c:v>
                </c:pt>
                <c:pt idx="67">
                  <c:v>58.008950706719453</c:v>
                </c:pt>
                <c:pt idx="68">
                  <c:v>59.403716951377504</c:v>
                </c:pt>
                <c:pt idx="69">
                  <c:v>62.234539205753208</c:v>
                </c:pt>
                <c:pt idx="70">
                  <c:v>54.199328107502758</c:v>
                </c:pt>
                <c:pt idx="71">
                  <c:v>32.362821948488168</c:v>
                </c:pt>
                <c:pt idx="72">
                  <c:v>9.5184770436729718</c:v>
                </c:pt>
                <c:pt idx="73">
                  <c:v>0</c:v>
                </c:pt>
                <c:pt idx="74">
                  <c:v>3.3172080165860351</c:v>
                </c:pt>
                <c:pt idx="75">
                  <c:v>4.9527758580972261</c:v>
                </c:pt>
                <c:pt idx="76">
                  <c:v>17.553559087767805</c:v>
                </c:pt>
                <c:pt idx="77">
                  <c:v>26.149708471903818</c:v>
                </c:pt>
                <c:pt idx="78">
                  <c:v>30.860624335366893</c:v>
                </c:pt>
                <c:pt idx="79">
                  <c:v>24.606324810670586</c:v>
                </c:pt>
                <c:pt idx="80">
                  <c:v>21.583762149799924</c:v>
                </c:pt>
                <c:pt idx="81">
                  <c:v>32.990280160091551</c:v>
                </c:pt>
                <c:pt idx="82">
                  <c:v>35.191538021726792</c:v>
                </c:pt>
                <c:pt idx="83">
                  <c:v>51.063825276107046</c:v>
                </c:pt>
                <c:pt idx="84">
                  <c:v>66.644156894174486</c:v>
                </c:pt>
                <c:pt idx="85">
                  <c:v>91.429748660898284</c:v>
                </c:pt>
                <c:pt idx="86">
                  <c:v>97.711015736766853</c:v>
                </c:pt>
                <c:pt idx="87">
                  <c:v>97.711015736766853</c:v>
                </c:pt>
                <c:pt idx="88">
                  <c:v>97.711015736766853</c:v>
                </c:pt>
                <c:pt idx="89">
                  <c:v>100</c:v>
                </c:pt>
                <c:pt idx="90">
                  <c:v>99.599876885195457</c:v>
                </c:pt>
                <c:pt idx="91">
                  <c:v>99.599876885195457</c:v>
                </c:pt>
                <c:pt idx="92">
                  <c:v>99.599876885195457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99.556147359076817</c:v>
                </c:pt>
                <c:pt idx="97">
                  <c:v>99.556147359076817</c:v>
                </c:pt>
                <c:pt idx="98">
                  <c:v>99.556147359076817</c:v>
                </c:pt>
                <c:pt idx="99">
                  <c:v>97.783549783549788</c:v>
                </c:pt>
                <c:pt idx="100">
                  <c:v>97.783549783549788</c:v>
                </c:pt>
                <c:pt idx="101">
                  <c:v>97.783549783549788</c:v>
                </c:pt>
                <c:pt idx="102">
                  <c:v>100</c:v>
                </c:pt>
                <c:pt idx="103">
                  <c:v>100</c:v>
                </c:pt>
                <c:pt idx="104">
                  <c:v>88.792569659442748</c:v>
                </c:pt>
                <c:pt idx="105">
                  <c:v>79.937278082768884</c:v>
                </c:pt>
                <c:pt idx="106">
                  <c:v>79.937278082768884</c:v>
                </c:pt>
                <c:pt idx="107">
                  <c:v>91.144708423326122</c:v>
                </c:pt>
                <c:pt idx="108">
                  <c:v>100</c:v>
                </c:pt>
                <c:pt idx="109">
                  <c:v>100</c:v>
                </c:pt>
                <c:pt idx="110">
                  <c:v>90.875232774674146</c:v>
                </c:pt>
                <c:pt idx="111">
                  <c:v>72.732109603617999</c:v>
                </c:pt>
                <c:pt idx="112">
                  <c:v>49.853684490555985</c:v>
                </c:pt>
                <c:pt idx="113">
                  <c:v>25.645118382548493</c:v>
                </c:pt>
                <c:pt idx="114">
                  <c:v>10.454908220271314</c:v>
                </c:pt>
                <c:pt idx="115">
                  <c:v>3.4908471690080667</c:v>
                </c:pt>
                <c:pt idx="116">
                  <c:v>3.4908471690080667</c:v>
                </c:pt>
                <c:pt idx="117">
                  <c:v>4.4624910317881215</c:v>
                </c:pt>
                <c:pt idx="118">
                  <c:v>0.97164386278005432</c:v>
                </c:pt>
                <c:pt idx="119">
                  <c:v>0.97164386278005432</c:v>
                </c:pt>
                <c:pt idx="120">
                  <c:v>0</c:v>
                </c:pt>
                <c:pt idx="121">
                  <c:v>5.9440559440559531</c:v>
                </c:pt>
                <c:pt idx="122">
                  <c:v>5.9440559440559531</c:v>
                </c:pt>
                <c:pt idx="123">
                  <c:v>8.0418727509836234</c:v>
                </c:pt>
                <c:pt idx="124">
                  <c:v>2.0978168069276717</c:v>
                </c:pt>
                <c:pt idx="125">
                  <c:v>3.525702576066172</c:v>
                </c:pt>
                <c:pt idx="126">
                  <c:v>2.9484582199435239</c:v>
                </c:pt>
                <c:pt idx="127">
                  <c:v>3.1571642426030571</c:v>
                </c:pt>
                <c:pt idx="128">
                  <c:v>12.492546213476516</c:v>
                </c:pt>
                <c:pt idx="129">
                  <c:v>36.927440695207224</c:v>
                </c:pt>
                <c:pt idx="130">
                  <c:v>64.502051389064846</c:v>
                </c:pt>
                <c:pt idx="131">
                  <c:v>83.543408848414913</c:v>
                </c:pt>
                <c:pt idx="132">
                  <c:v>84.222710655911058</c:v>
                </c:pt>
                <c:pt idx="133">
                  <c:v>67.145135566188159</c:v>
                </c:pt>
                <c:pt idx="134">
                  <c:v>57.595693779904302</c:v>
                </c:pt>
                <c:pt idx="135">
                  <c:v>50.558213716108447</c:v>
                </c:pt>
                <c:pt idx="136">
                  <c:v>60.944976076555029</c:v>
                </c:pt>
                <c:pt idx="137">
                  <c:v>50.637958532695357</c:v>
                </c:pt>
                <c:pt idx="138">
                  <c:v>40.831582602739978</c:v>
                </c:pt>
                <c:pt idx="139">
                  <c:v>39.521949544329068</c:v>
                </c:pt>
                <c:pt idx="140">
                  <c:v>57.901085645355828</c:v>
                </c:pt>
                <c:pt idx="141">
                  <c:v>81.443506232408495</c:v>
                </c:pt>
                <c:pt idx="142">
                  <c:v>94.99396863691193</c:v>
                </c:pt>
                <c:pt idx="143">
                  <c:v>99.744647417010427</c:v>
                </c:pt>
                <c:pt idx="144">
                  <c:v>99.744647417010427</c:v>
                </c:pt>
                <c:pt idx="145">
                  <c:v>99.744647417010427</c:v>
                </c:pt>
                <c:pt idx="146">
                  <c:v>99.487179487179489</c:v>
                </c:pt>
                <c:pt idx="147">
                  <c:v>99.487179487179489</c:v>
                </c:pt>
                <c:pt idx="148">
                  <c:v>99.384457350559046</c:v>
                </c:pt>
                <c:pt idx="149">
                  <c:v>88.358157849683309</c:v>
                </c:pt>
                <c:pt idx="150">
                  <c:v>71.580208868344513</c:v>
                </c:pt>
                <c:pt idx="151">
                  <c:v>62.668363738469687</c:v>
                </c:pt>
                <c:pt idx="152">
                  <c:v>53.328109903178834</c:v>
                </c:pt>
                <c:pt idx="153">
                  <c:v>36.772725551184287</c:v>
                </c:pt>
                <c:pt idx="154">
                  <c:v>12.453959484346226</c:v>
                </c:pt>
                <c:pt idx="155">
                  <c:v>0</c:v>
                </c:pt>
                <c:pt idx="156">
                  <c:v>10.591900311526443</c:v>
                </c:pt>
                <c:pt idx="157">
                  <c:v>10.591900311526443</c:v>
                </c:pt>
                <c:pt idx="158">
                  <c:v>10.591900311526443</c:v>
                </c:pt>
                <c:pt idx="159">
                  <c:v>0</c:v>
                </c:pt>
                <c:pt idx="160">
                  <c:v>0</c:v>
                </c:pt>
                <c:pt idx="161">
                  <c:v>3.3993576017130653</c:v>
                </c:pt>
                <c:pt idx="162">
                  <c:v>7.8769695420115662</c:v>
                </c:pt>
                <c:pt idx="163">
                  <c:v>10.996787120784361</c:v>
                </c:pt>
                <c:pt idx="164">
                  <c:v>13.360281923714746</c:v>
                </c:pt>
                <c:pt idx="165">
                  <c:v>13.895712968558572</c:v>
                </c:pt>
                <c:pt idx="166">
                  <c:v>20.518438204802234</c:v>
                </c:pt>
                <c:pt idx="167">
                  <c:v>27.288193263014616</c:v>
                </c:pt>
                <c:pt idx="168">
                  <c:v>38.232959056368379</c:v>
                </c:pt>
                <c:pt idx="169">
                  <c:v>41.930361801066105</c:v>
                </c:pt>
                <c:pt idx="170">
                  <c:v>55.933334862554851</c:v>
                </c:pt>
                <c:pt idx="171">
                  <c:v>59.312152760135</c:v>
                </c:pt>
                <c:pt idx="172">
                  <c:v>75.159433735353758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6B-C949-B1D5-7DE411BCF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8147824"/>
        <c:axId val="246567536"/>
      </c:lineChart>
      <c:dateAx>
        <c:axId val="388147824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67536"/>
        <c:crosses val="autoZero"/>
        <c:auto val="1"/>
        <c:lblOffset val="100"/>
        <c:baseTimeUnit val="days"/>
      </c:dateAx>
      <c:valAx>
        <c:axId val="2465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14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stock price at maturity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'Q6'!$B$10:$B$109</c:f>
              <c:numCache>
                <c:formatCode>General</c:formatCode>
                <c:ptCount val="100"/>
                <c:pt idx="0">
                  <c:v>241.0050871824526</c:v>
                </c:pt>
                <c:pt idx="1">
                  <c:v>244.54273365982277</c:v>
                </c:pt>
                <c:pt idx="2">
                  <c:v>236.78478754746786</c:v>
                </c:pt>
                <c:pt idx="3">
                  <c:v>192.67240895470104</c:v>
                </c:pt>
                <c:pt idx="4">
                  <c:v>189.51733440131014</c:v>
                </c:pt>
                <c:pt idx="5">
                  <c:v>179.59695875780093</c:v>
                </c:pt>
                <c:pt idx="6">
                  <c:v>230.56978809450473</c:v>
                </c:pt>
                <c:pt idx="7">
                  <c:v>301.22228131155617</c:v>
                </c:pt>
                <c:pt idx="8">
                  <c:v>138.64562827447983</c:v>
                </c:pt>
                <c:pt idx="9">
                  <c:v>226.41821902940231</c:v>
                </c:pt>
                <c:pt idx="10">
                  <c:v>253.22529286267306</c:v>
                </c:pt>
                <c:pt idx="11">
                  <c:v>227.96186069969394</c:v>
                </c:pt>
                <c:pt idx="12">
                  <c:v>304.92356458884831</c:v>
                </c:pt>
                <c:pt idx="13">
                  <c:v>253.57329539264023</c:v>
                </c:pt>
                <c:pt idx="14">
                  <c:v>219.88057335454337</c:v>
                </c:pt>
                <c:pt idx="15">
                  <c:v>218.46161393943112</c:v>
                </c:pt>
                <c:pt idx="16">
                  <c:v>192.45184080039462</c:v>
                </c:pt>
                <c:pt idx="17">
                  <c:v>198.3953362696316</c:v>
                </c:pt>
                <c:pt idx="18">
                  <c:v>244.96689264263563</c:v>
                </c:pt>
                <c:pt idx="19">
                  <c:v>201.01137466782839</c:v>
                </c:pt>
                <c:pt idx="20">
                  <c:v>241.76737246971791</c:v>
                </c:pt>
                <c:pt idx="21">
                  <c:v>212.13649363136037</c:v>
                </c:pt>
                <c:pt idx="22">
                  <c:v>197.71098317710047</c:v>
                </c:pt>
                <c:pt idx="23">
                  <c:v>255.28527505691352</c:v>
                </c:pt>
                <c:pt idx="24">
                  <c:v>243.8981884263099</c:v>
                </c:pt>
                <c:pt idx="25">
                  <c:v>201.56191274429554</c:v>
                </c:pt>
                <c:pt idx="26">
                  <c:v>266.81994588510253</c:v>
                </c:pt>
                <c:pt idx="27">
                  <c:v>251.98644976444317</c:v>
                </c:pt>
                <c:pt idx="28">
                  <c:v>217.60870591132422</c:v>
                </c:pt>
                <c:pt idx="29">
                  <c:v>291.90760558123867</c:v>
                </c:pt>
                <c:pt idx="30">
                  <c:v>147.02567063876148</c:v>
                </c:pt>
                <c:pt idx="31">
                  <c:v>211.40435019886684</c:v>
                </c:pt>
                <c:pt idx="32">
                  <c:v>196.43478835464552</c:v>
                </c:pt>
                <c:pt idx="33">
                  <c:v>309.3912845897346</c:v>
                </c:pt>
                <c:pt idx="34">
                  <c:v>303.7622935958405</c:v>
                </c:pt>
                <c:pt idx="35">
                  <c:v>250.76045953750739</c:v>
                </c:pt>
                <c:pt idx="36">
                  <c:v>279.36404595824996</c:v>
                </c:pt>
                <c:pt idx="37">
                  <c:v>154.29786876880777</c:v>
                </c:pt>
                <c:pt idx="38">
                  <c:v>236.97668786446081</c:v>
                </c:pt>
                <c:pt idx="39">
                  <c:v>239.03193737328579</c:v>
                </c:pt>
                <c:pt idx="40">
                  <c:v>216.435668484357</c:v>
                </c:pt>
                <c:pt idx="41">
                  <c:v>229.40461470102383</c:v>
                </c:pt>
                <c:pt idx="42">
                  <c:v>253.21495634023566</c:v>
                </c:pt>
                <c:pt idx="43">
                  <c:v>270.65108528705883</c:v>
                </c:pt>
                <c:pt idx="44">
                  <c:v>280.87826652639018</c:v>
                </c:pt>
                <c:pt idx="45">
                  <c:v>187.11527261725951</c:v>
                </c:pt>
                <c:pt idx="46">
                  <c:v>220.51003240310777</c:v>
                </c:pt>
                <c:pt idx="47">
                  <c:v>236.20054633747128</c:v>
                </c:pt>
                <c:pt idx="48">
                  <c:v>276.59578227242832</c:v>
                </c:pt>
                <c:pt idx="49">
                  <c:v>276.4744000092835</c:v>
                </c:pt>
                <c:pt idx="50">
                  <c:v>210.37003431864451</c:v>
                </c:pt>
                <c:pt idx="51">
                  <c:v>194.73661775632925</c:v>
                </c:pt>
                <c:pt idx="52">
                  <c:v>188.25276184947271</c:v>
                </c:pt>
                <c:pt idx="53">
                  <c:v>249.65508136707413</c:v>
                </c:pt>
                <c:pt idx="54">
                  <c:v>238.68249245145171</c:v>
                </c:pt>
                <c:pt idx="55">
                  <c:v>167.43493708037249</c:v>
                </c:pt>
                <c:pt idx="56">
                  <c:v>204.36022376031303</c:v>
                </c:pt>
                <c:pt idx="57">
                  <c:v>187.65861188193753</c:v>
                </c:pt>
                <c:pt idx="58">
                  <c:v>312.78148429906702</c:v>
                </c:pt>
                <c:pt idx="59">
                  <c:v>182.52671894928767</c:v>
                </c:pt>
                <c:pt idx="60">
                  <c:v>262.98569838199199</c:v>
                </c:pt>
                <c:pt idx="61">
                  <c:v>288.76248034190013</c:v>
                </c:pt>
                <c:pt idx="62">
                  <c:v>174.5399394835766</c:v>
                </c:pt>
                <c:pt idx="63">
                  <c:v>241.46567525311238</c:v>
                </c:pt>
                <c:pt idx="64">
                  <c:v>151.73523244889756</c:v>
                </c:pt>
                <c:pt idx="65">
                  <c:v>206.19255879469537</c:v>
                </c:pt>
                <c:pt idx="66">
                  <c:v>206.99334362747578</c:v>
                </c:pt>
                <c:pt idx="67">
                  <c:v>149.45189968120087</c:v>
                </c:pt>
                <c:pt idx="68">
                  <c:v>269.00030039293051</c:v>
                </c:pt>
                <c:pt idx="69">
                  <c:v>180.28268271404104</c:v>
                </c:pt>
                <c:pt idx="70">
                  <c:v>200.30944611190401</c:v>
                </c:pt>
                <c:pt idx="71">
                  <c:v>269.38517684501005</c:v>
                </c:pt>
                <c:pt idx="72">
                  <c:v>223.21629987350488</c:v>
                </c:pt>
                <c:pt idx="73">
                  <c:v>244.40580730665653</c:v>
                </c:pt>
                <c:pt idx="74">
                  <c:v>395.83976149011346</c:v>
                </c:pt>
                <c:pt idx="75">
                  <c:v>193.84373427049675</c:v>
                </c:pt>
                <c:pt idx="76">
                  <c:v>157.1727431295522</c:v>
                </c:pt>
                <c:pt idx="77">
                  <c:v>196.57099721679833</c:v>
                </c:pt>
                <c:pt idx="78">
                  <c:v>206.24728599553666</c:v>
                </c:pt>
                <c:pt idx="79">
                  <c:v>209.8045155173906</c:v>
                </c:pt>
                <c:pt idx="80">
                  <c:v>258.15298173452635</c:v>
                </c:pt>
                <c:pt idx="81">
                  <c:v>201.82188998811714</c:v>
                </c:pt>
                <c:pt idx="82">
                  <c:v>273.37150914279351</c:v>
                </c:pt>
                <c:pt idx="83">
                  <c:v>200.35205409445805</c:v>
                </c:pt>
                <c:pt idx="84">
                  <c:v>164.48221478000815</c:v>
                </c:pt>
                <c:pt idx="85">
                  <c:v>256.44018171111628</c:v>
                </c:pt>
                <c:pt idx="86">
                  <c:v>229.94478132112823</c:v>
                </c:pt>
                <c:pt idx="87">
                  <c:v>231.38334081692136</c:v>
                </c:pt>
                <c:pt idx="88">
                  <c:v>186.15091845058029</c:v>
                </c:pt>
                <c:pt idx="89">
                  <c:v>250.39567541574826</c:v>
                </c:pt>
                <c:pt idx="90">
                  <c:v>255.14511064125307</c:v>
                </c:pt>
                <c:pt idx="91">
                  <c:v>242.82291921205731</c:v>
                </c:pt>
                <c:pt idx="92">
                  <c:v>215.70978180216886</c:v>
                </c:pt>
                <c:pt idx="93">
                  <c:v>237.856169792266</c:v>
                </c:pt>
                <c:pt idx="94">
                  <c:v>255.12563946239425</c:v>
                </c:pt>
                <c:pt idx="95">
                  <c:v>198.56465856633091</c:v>
                </c:pt>
                <c:pt idx="96">
                  <c:v>209.04516505485418</c:v>
                </c:pt>
                <c:pt idx="97">
                  <c:v>219.21046568977428</c:v>
                </c:pt>
                <c:pt idx="98">
                  <c:v>183.24382969840403</c:v>
                </c:pt>
                <c:pt idx="99">
                  <c:v>226.70077986773296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1F-6E41-A3BC-F5110ACB0AEF}"/>
            </c:ext>
          </c:extLst>
        </c:ser>
        <c:ser>
          <c:idx val="1"/>
          <c:order val="1"/>
          <c:tx>
            <c:v>payoff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'Q6'!$C$9:$C$109</c:f>
              <c:numCache>
                <c:formatCode>General</c:formatCode>
                <c:ptCount val="101"/>
                <c:pt idx="0">
                  <c:v>0</c:v>
                </c:pt>
                <c:pt idx="1">
                  <c:v>26.005087182452598</c:v>
                </c:pt>
                <c:pt idx="2">
                  <c:v>29.542733659822773</c:v>
                </c:pt>
                <c:pt idx="3">
                  <c:v>21.784787547467857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15.56978809450473</c:v>
                </c:pt>
                <c:pt idx="8">
                  <c:v>86.222281311556173</c:v>
                </c:pt>
                <c:pt idx="9">
                  <c:v>0</c:v>
                </c:pt>
                <c:pt idx="10">
                  <c:v>11.418219029402309</c:v>
                </c:pt>
                <c:pt idx="11">
                  <c:v>38.225292862673058</c:v>
                </c:pt>
                <c:pt idx="12">
                  <c:v>12.961860699693943</c:v>
                </c:pt>
                <c:pt idx="13">
                  <c:v>89.923564588848308</c:v>
                </c:pt>
                <c:pt idx="14">
                  <c:v>38.573295392640233</c:v>
                </c:pt>
                <c:pt idx="15">
                  <c:v>4.8805733545433725</c:v>
                </c:pt>
                <c:pt idx="16">
                  <c:v>3.4616139394311176</c:v>
                </c:pt>
                <c:pt idx="17">
                  <c:v>0</c:v>
                </c:pt>
                <c:pt idx="18">
                  <c:v>0</c:v>
                </c:pt>
                <c:pt idx="19">
                  <c:v>29.966892642635628</c:v>
                </c:pt>
                <c:pt idx="20">
                  <c:v>0</c:v>
                </c:pt>
                <c:pt idx="21">
                  <c:v>26.767372469717913</c:v>
                </c:pt>
                <c:pt idx="22">
                  <c:v>0</c:v>
                </c:pt>
                <c:pt idx="23">
                  <c:v>0</c:v>
                </c:pt>
                <c:pt idx="24">
                  <c:v>40.28527505691352</c:v>
                </c:pt>
                <c:pt idx="25">
                  <c:v>28.8981884263099</c:v>
                </c:pt>
                <c:pt idx="26">
                  <c:v>0</c:v>
                </c:pt>
                <c:pt idx="27">
                  <c:v>51.819945885102527</c:v>
                </c:pt>
                <c:pt idx="28">
                  <c:v>36.986449764443165</c:v>
                </c:pt>
                <c:pt idx="29">
                  <c:v>2.6087059113242219</c:v>
                </c:pt>
                <c:pt idx="30">
                  <c:v>76.90760558123867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94.391284589734596</c:v>
                </c:pt>
                <c:pt idx="35">
                  <c:v>88.762293595840504</c:v>
                </c:pt>
                <c:pt idx="36">
                  <c:v>35.760459537507387</c:v>
                </c:pt>
                <c:pt idx="37">
                  <c:v>64.36404595824996</c:v>
                </c:pt>
                <c:pt idx="38">
                  <c:v>0</c:v>
                </c:pt>
                <c:pt idx="39">
                  <c:v>21.976687864460814</c:v>
                </c:pt>
                <c:pt idx="40">
                  <c:v>24.031937373285785</c:v>
                </c:pt>
                <c:pt idx="41">
                  <c:v>1.4356684843569951</c:v>
                </c:pt>
                <c:pt idx="42">
                  <c:v>14.404614701023831</c:v>
                </c:pt>
                <c:pt idx="43">
                  <c:v>38.214956340235659</c:v>
                </c:pt>
                <c:pt idx="44">
                  <c:v>55.651085287058834</c:v>
                </c:pt>
                <c:pt idx="45">
                  <c:v>65.878266526390178</c:v>
                </c:pt>
                <c:pt idx="46">
                  <c:v>0</c:v>
                </c:pt>
                <c:pt idx="47">
                  <c:v>5.5100324031077719</c:v>
                </c:pt>
                <c:pt idx="48">
                  <c:v>21.20054633747128</c:v>
                </c:pt>
                <c:pt idx="49">
                  <c:v>61.595782272428323</c:v>
                </c:pt>
                <c:pt idx="50">
                  <c:v>61.474400009283499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34.655081367074132</c:v>
                </c:pt>
                <c:pt idx="55">
                  <c:v>23.682492451451708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97.781484299067017</c:v>
                </c:pt>
                <c:pt idx="60">
                  <c:v>0</c:v>
                </c:pt>
                <c:pt idx="61">
                  <c:v>47.985698381991995</c:v>
                </c:pt>
                <c:pt idx="62">
                  <c:v>73.76248034190013</c:v>
                </c:pt>
                <c:pt idx="63">
                  <c:v>0</c:v>
                </c:pt>
                <c:pt idx="64">
                  <c:v>26.46567525311238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54.000300392930512</c:v>
                </c:pt>
                <c:pt idx="70">
                  <c:v>0</c:v>
                </c:pt>
                <c:pt idx="71">
                  <c:v>0</c:v>
                </c:pt>
                <c:pt idx="72">
                  <c:v>54.385176845010051</c:v>
                </c:pt>
                <c:pt idx="73">
                  <c:v>8.2162998735048802</c:v>
                </c:pt>
                <c:pt idx="74">
                  <c:v>29.405807306656527</c:v>
                </c:pt>
                <c:pt idx="75">
                  <c:v>180.83976149011346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43.15298173452635</c:v>
                </c:pt>
                <c:pt idx="82">
                  <c:v>0</c:v>
                </c:pt>
                <c:pt idx="83">
                  <c:v>58.371509142793514</c:v>
                </c:pt>
                <c:pt idx="84">
                  <c:v>0</c:v>
                </c:pt>
                <c:pt idx="85">
                  <c:v>0</c:v>
                </c:pt>
                <c:pt idx="86">
                  <c:v>41.440181711116281</c:v>
                </c:pt>
                <c:pt idx="87">
                  <c:v>14.944781321128232</c:v>
                </c:pt>
                <c:pt idx="88">
                  <c:v>16.383340816921361</c:v>
                </c:pt>
                <c:pt idx="89">
                  <c:v>0</c:v>
                </c:pt>
                <c:pt idx="90">
                  <c:v>35.395675415748258</c:v>
                </c:pt>
                <c:pt idx="91">
                  <c:v>40.145110641253069</c:v>
                </c:pt>
                <c:pt idx="92">
                  <c:v>27.822919212057315</c:v>
                </c:pt>
                <c:pt idx="93">
                  <c:v>0.70978180216886244</c:v>
                </c:pt>
                <c:pt idx="94">
                  <c:v>22.856169792266002</c:v>
                </c:pt>
                <c:pt idx="95">
                  <c:v>40.125639462394247</c:v>
                </c:pt>
                <c:pt idx="96">
                  <c:v>0</c:v>
                </c:pt>
                <c:pt idx="97">
                  <c:v>0</c:v>
                </c:pt>
                <c:pt idx="98">
                  <c:v>4.2104656897742814</c:v>
                </c:pt>
                <c:pt idx="99">
                  <c:v>0</c:v>
                </c:pt>
                <c:pt idx="100">
                  <c:v>11.700779867732962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1F-6E41-A3BC-F5110ACB0AEF}"/>
            </c:ext>
          </c:extLst>
        </c:ser>
        <c:ser>
          <c:idx val="2"/>
          <c:order val="2"/>
          <c:tx>
            <c:v>call price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'Q6'!$D$9:$D$10</c:f>
              <c:numCache>
                <c:formatCode>General</c:formatCode>
                <c:ptCount val="2"/>
                <c:pt idx="0">
                  <c:v>0</c:v>
                </c:pt>
                <c:pt idx="1">
                  <c:v>22.592174384998163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1F-6E41-A3BC-F5110ACB0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4914768"/>
        <c:axId val="1788037199"/>
      </c:lineChart>
      <c:catAx>
        <c:axId val="404914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037199"/>
        <c:crosses val="autoZero"/>
        <c:auto val="1"/>
        <c:lblAlgn val="ctr"/>
        <c:lblOffset val="100"/>
        <c:noMultiLvlLbl val="0"/>
      </c:catAx>
      <c:valAx>
        <c:axId val="178803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1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698500</xdr:colOff>
      <xdr:row>1</xdr:row>
      <xdr:rowOff>76200</xdr:rowOff>
    </xdr:from>
    <xdr:to>
      <xdr:col>22</xdr:col>
      <xdr:colOff>800100</xdr:colOff>
      <xdr:row>27</xdr:row>
      <xdr:rowOff>101600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135CA87-F820-A382-1AAE-A4AEA5B26D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609600</xdr:colOff>
      <xdr:row>27</xdr:row>
      <xdr:rowOff>177800</xdr:rowOff>
    </xdr:from>
    <xdr:to>
      <xdr:col>22</xdr:col>
      <xdr:colOff>279400</xdr:colOff>
      <xdr:row>55</xdr:row>
      <xdr:rowOff>25400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9CF2D603-8ACF-869A-F980-CFBCB78D87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0.41711</cdr:x>
      <cdr:y>0.8961</cdr:y>
    </cdr:from>
    <cdr:to>
      <cdr:x>0.63636</cdr:x>
      <cdr:y>0.99134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4529F4-FF5F-3737-4436-D4FBE2642690}"/>
            </a:ext>
          </a:extLst>
        </cdr:cNvPr>
        <cdr:cNvSpPr txBox="1"/>
      </cdr:nvSpPr>
      <cdr:spPr>
        <a:xfrm xmlns:a="http://schemas.openxmlformats.org/drawingml/2006/main">
          <a:off x="3962400" y="3943350"/>
          <a:ext cx="20828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0.49289</cdr:x>
      <cdr:y>0.05882</cdr:y>
    </cdr:from>
    <cdr:to>
      <cdr:x>0.5813</cdr:x>
      <cdr:y>0.13369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A5D5CF17-8299-42B1-DB40-E54531EFC30A}"/>
            </a:ext>
          </a:extLst>
        </cdr:cNvPr>
        <cdr:cNvSpPr txBox="1"/>
      </cdr:nvSpPr>
      <cdr:spPr>
        <a:xfrm xmlns:a="http://schemas.openxmlformats.org/drawingml/2006/main">
          <a:off x="6159500" y="279400"/>
          <a:ext cx="1104900" cy="355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0.42116</cdr:x>
      <cdr:y>0.02392</cdr:y>
    </cdr:from>
    <cdr:to>
      <cdr:x>0.51068</cdr:x>
      <cdr:y>0.08134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46BED38-5C17-E754-521F-FF6FBBD596FF}"/>
            </a:ext>
          </a:extLst>
        </cdr:cNvPr>
        <cdr:cNvSpPr txBox="1"/>
      </cdr:nvSpPr>
      <cdr:spPr>
        <a:xfrm xmlns:a="http://schemas.openxmlformats.org/drawingml/2006/main">
          <a:off x="5257800" y="127000"/>
          <a:ext cx="1117600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MACD</a:t>
          </a:r>
          <a:r>
            <a:rPr lang="en-GB" sz="1100" baseline="0"/>
            <a:t> CHART</a:t>
          </a: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419100</xdr:colOff>
      <xdr:row>3</xdr:row>
      <xdr:rowOff>146050</xdr:rowOff>
    </xdr:from>
    <xdr:to>
      <xdr:col>22</xdr:col>
      <xdr:colOff>266700</xdr:colOff>
      <xdr:row>30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485112-CBD3-7D69-6713-6039AA4675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0.03983</cdr:x>
      <cdr:y>0.44752</cdr:y>
    </cdr:from>
    <cdr:to>
      <cdr:x>0.99858</cdr:x>
      <cdr:y>0.45329</cdr:y>
    </cdr:to>
    <cdr:cxnSp macro="">
      <cdr:nvCxnSpPr>
        <cdr:cNvPr id="2" name="直接连接符 2">
          <a:extLst xmlns:a="http://schemas.openxmlformats.org/drawingml/2006/main">
            <a:ext uri="{FF2B5EF4-FFF2-40B4-BE49-F238E27FC236}">
              <a16:creationId xmlns:a16="http://schemas.microsoft.com/office/drawing/2014/main" id="{0EC89F67-1E46-60C0-14C9-C6DCC10A3464}"/>
            </a:ext>
          </a:extLst>
        </cdr:cNvPr>
        <cdr:cNvCxnSpPr/>
      </cdr:nvCxnSpPr>
      <cdr:spPr>
        <a:xfrm xmlns:a="http://schemas.openxmlformats.org/drawingml/2006/main">
          <a:off x="355600" y="2463800"/>
          <a:ext cx="8559800" cy="3175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1">
          <a:schemeClr val="accent2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482600</xdr:colOff>
      <xdr:row>0</xdr:row>
      <xdr:rowOff>25400</xdr:rowOff>
    </xdr:from>
    <xdr:to>
      <xdr:col>24</xdr:col>
      <xdr:colOff>203200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B7DA0E-6F36-8B27-C2CB-30DCDCF006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254000</xdr:colOff>
      <xdr:row>2</xdr:row>
      <xdr:rowOff>107950</xdr:rowOff>
    </xdr:from>
    <xdr:to>
      <xdr:col>20</xdr:col>
      <xdr:colOff>76200</xdr:colOff>
      <xdr:row>25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A40855-5067-C89F-D5DE-567B9F4201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0.03509</cdr:x>
      <cdr:y>0.68138</cdr:y>
    </cdr:from>
    <cdr:to>
      <cdr:x>0.99415</cdr:x>
      <cdr:y>0.68276</cdr:y>
    </cdr:to>
    <cdr:cxnSp macro="">
      <cdr:nvCxnSpPr>
        <cdr:cNvPr id="2" name="直接连接符 3">
          <a:extLst xmlns:a="http://schemas.openxmlformats.org/drawingml/2006/main">
            <a:ext uri="{FF2B5EF4-FFF2-40B4-BE49-F238E27FC236}">
              <a16:creationId xmlns:a16="http://schemas.microsoft.com/office/drawing/2014/main" id="{EFFFA927-280A-506C-CD55-F316EC493AE0}"/>
            </a:ext>
          </a:extLst>
        </cdr:cNvPr>
        <cdr:cNvCxnSpPr/>
      </cdr:nvCxnSpPr>
      <cdr:spPr>
        <a:xfrm xmlns:a="http://schemas.openxmlformats.org/drawingml/2006/main">
          <a:off x="457200" y="3136900"/>
          <a:ext cx="12496800" cy="635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accent6"/>
          </a:solidFill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0.03555</cdr:x>
      <cdr:y>0.33418</cdr:y>
    </cdr:from>
    <cdr:to>
      <cdr:x>0.99123</cdr:x>
      <cdr:y>0.34069</cdr:y>
    </cdr:to>
    <cdr:cxnSp macro="">
      <cdr:nvCxnSpPr>
        <cdr:cNvPr id="3" name="直接连接符 2">
          <a:extLst xmlns:a="http://schemas.openxmlformats.org/drawingml/2006/main">
            <a:ext uri="{FF2B5EF4-FFF2-40B4-BE49-F238E27FC236}">
              <a16:creationId xmlns:a16="http://schemas.microsoft.com/office/drawing/2014/main" id="{20F99531-6B8C-0DA0-91E0-9A5C5CC64A35}"/>
            </a:ext>
          </a:extLst>
        </cdr:cNvPr>
        <cdr:cNvCxnSpPr/>
      </cdr:nvCxnSpPr>
      <cdr:spPr>
        <a:xfrm xmlns:a="http://schemas.openxmlformats.org/drawingml/2006/main">
          <a:off x="463277" y="1538462"/>
          <a:ext cx="12452623" cy="29988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FF0000"/>
          </a:solidFill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666750</xdr:colOff>
      <xdr:row>8</xdr:row>
      <xdr:rowOff>133350</xdr:rowOff>
    </xdr:from>
    <xdr:to>
      <xdr:col>10</xdr:col>
      <xdr:colOff>285750</xdr:colOff>
      <xdr:row>22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DEA727-AECC-0830-A538-04D48D74E3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4472C-A7A6-414D-8A75-ADA9C5845432}">
  <sheetPr codeName="Sheet1"/>
  <dimension ref="A1:Q189"/>
  <sheetViews>
    <sheetView workbookViewId="0">
      <selection activeCell="K25" sqref="K25"/>
    </sheetView>
  </sheetViews>
  <sheetFormatPr baseColWidth="10" defaultRowHeight="16" x14ac:dyDescent="0.2"/>
  <cols>
    <col min="11" max="11" width="11.6640625" bestFit="1" customWidth="1"/>
  </cols>
  <sheetData>
    <row r="1" spans="1:16" ht="17" thickBot="1" x14ac:dyDescent="0.25">
      <c r="A1" s="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19</v>
      </c>
      <c r="H1" t="s">
        <v>20</v>
      </c>
      <c r="I1" t="s">
        <v>21</v>
      </c>
      <c r="K1" s="5" t="s">
        <v>12</v>
      </c>
      <c r="M1" t="s">
        <v>23</v>
      </c>
    </row>
    <row r="2" spans="1:16" x14ac:dyDescent="0.2">
      <c r="A2" s="2">
        <v>45474</v>
      </c>
      <c r="B2" s="1">
        <v>216.75</v>
      </c>
      <c r="D2" s="2">
        <v>45474</v>
      </c>
      <c r="E2" s="3">
        <v>5475.09</v>
      </c>
      <c r="G2" s="4">
        <v>4.3299999999999998E-2</v>
      </c>
      <c r="O2" s="13" t="s">
        <v>50</v>
      </c>
      <c r="P2" s="13"/>
    </row>
    <row r="3" spans="1:16" x14ac:dyDescent="0.2">
      <c r="A3" s="2">
        <v>45475</v>
      </c>
      <c r="B3" s="1">
        <v>220.27</v>
      </c>
      <c r="C3">
        <f>LN(B3/B2)</f>
        <v>1.6109450935414969E-2</v>
      </c>
      <c r="D3" s="2">
        <v>45475</v>
      </c>
      <c r="E3" s="3">
        <v>5509.01</v>
      </c>
      <c r="F3">
        <f>LN(E3/E2)</f>
        <v>6.1762197767835335E-3</v>
      </c>
      <c r="H3">
        <f>C3-$G$2/252</f>
        <v>1.5937625538589573E-2</v>
      </c>
      <c r="I3">
        <f>F3-$G$2/252</f>
        <v>6.0043943799581367E-3</v>
      </c>
      <c r="K3" t="s">
        <v>6</v>
      </c>
      <c r="M3">
        <f>AVERAGE(C3:C189)</f>
        <v>1.3111326421860891E-4</v>
      </c>
      <c r="O3" s="11"/>
      <c r="P3" s="11"/>
    </row>
    <row r="4" spans="1:16" x14ac:dyDescent="0.2">
      <c r="A4" s="2">
        <v>45476</v>
      </c>
      <c r="B4" s="1">
        <v>221.55</v>
      </c>
      <c r="C4">
        <f t="shared" ref="C4:C67" si="0">LN(B4/B3)</f>
        <v>5.7942310494322798E-3</v>
      </c>
      <c r="D4" s="2">
        <v>45476</v>
      </c>
      <c r="E4" s="3">
        <v>5537.02</v>
      </c>
      <c r="F4">
        <f t="shared" ref="F4:F67" si="1">LN(E4/E3)</f>
        <v>5.0715161981972666E-3</v>
      </c>
      <c r="H4">
        <f t="shared" ref="H4:H67" si="2">C4-$G$2/252</f>
        <v>5.6224056526068831E-3</v>
      </c>
      <c r="I4">
        <f t="shared" ref="I4:I67" si="3">F4-$G$2/252</f>
        <v>4.8996908013718699E-3</v>
      </c>
      <c r="K4" t="s">
        <v>7</v>
      </c>
      <c r="M4">
        <f>M3*252</f>
        <v>3.3040542583089444E-2</v>
      </c>
      <c r="O4" s="11" t="s">
        <v>51</v>
      </c>
      <c r="P4" s="11">
        <v>1.3111326421860899E-4</v>
      </c>
    </row>
    <row r="5" spans="1:16" x14ac:dyDescent="0.2">
      <c r="A5" s="2">
        <v>45478</v>
      </c>
      <c r="B5" s="1">
        <v>226.34</v>
      </c>
      <c r="C5">
        <f t="shared" si="0"/>
        <v>2.1389995892297006E-2</v>
      </c>
      <c r="D5" s="2">
        <v>45478</v>
      </c>
      <c r="E5" s="3">
        <v>5567.19</v>
      </c>
      <c r="F5">
        <f t="shared" si="1"/>
        <v>5.4339884131971751E-3</v>
      </c>
      <c r="H5">
        <f t="shared" si="2"/>
        <v>2.121817049547161E-2</v>
      </c>
      <c r="I5">
        <f t="shared" si="3"/>
        <v>5.2621630163717783E-3</v>
      </c>
      <c r="K5" t="s">
        <v>8</v>
      </c>
      <c r="M5" s="9">
        <f>_xlfn.STDEV.S(C3:C189)*SQRT(252)</f>
        <v>0.23588469950236313</v>
      </c>
      <c r="O5" s="11" t="s">
        <v>52</v>
      </c>
      <c r="P5" s="11">
        <v>1.0866225112076283E-3</v>
      </c>
    </row>
    <row r="6" spans="1:16" x14ac:dyDescent="0.2">
      <c r="A6" s="2">
        <v>45481</v>
      </c>
      <c r="B6" s="1">
        <v>227.82</v>
      </c>
      <c r="C6">
        <f t="shared" si="0"/>
        <v>6.5175499339704939E-3</v>
      </c>
      <c r="D6" s="2">
        <v>45481</v>
      </c>
      <c r="E6" s="3">
        <v>5572.85</v>
      </c>
      <c r="F6">
        <f t="shared" si="1"/>
        <v>1.0161544279964853E-3</v>
      </c>
      <c r="H6">
        <f t="shared" si="2"/>
        <v>6.3457245371450971E-3</v>
      </c>
      <c r="I6">
        <f t="shared" si="3"/>
        <v>8.443290311710885E-4</v>
      </c>
      <c r="M6" t="s">
        <v>9</v>
      </c>
      <c r="O6" s="11" t="s">
        <v>53</v>
      </c>
      <c r="P6" s="11">
        <v>1.5950685596858294E-3</v>
      </c>
    </row>
    <row r="7" spans="1:16" x14ac:dyDescent="0.2">
      <c r="A7" s="2">
        <v>45482</v>
      </c>
      <c r="B7" s="1">
        <v>228.68</v>
      </c>
      <c r="C7">
        <f t="shared" si="0"/>
        <v>3.7678029240046994E-3</v>
      </c>
      <c r="D7" s="2">
        <v>45482</v>
      </c>
      <c r="E7" s="3">
        <v>5576.98</v>
      </c>
      <c r="F7">
        <f t="shared" si="1"/>
        <v>7.4081850375864739E-4</v>
      </c>
      <c r="H7">
        <f t="shared" si="2"/>
        <v>3.5959775271793026E-3</v>
      </c>
      <c r="I7">
        <f t="shared" si="3"/>
        <v>5.6899310693325051E-4</v>
      </c>
      <c r="K7" t="s">
        <v>8</v>
      </c>
      <c r="M7" cm="1">
        <f t="array" ref="M7">AnnualisedVolatility(C3:C189)</f>
        <v>0.2358846995023631</v>
      </c>
      <c r="O7" s="11" t="s">
        <v>54</v>
      </c>
      <c r="P7" s="11" t="e">
        <v>#N/A</v>
      </c>
    </row>
    <row r="8" spans="1:16" x14ac:dyDescent="0.2">
      <c r="A8" s="2">
        <v>45483</v>
      </c>
      <c r="B8" s="1">
        <v>232.98</v>
      </c>
      <c r="C8">
        <f t="shared" si="0"/>
        <v>1.8628966575860231E-2</v>
      </c>
      <c r="D8" s="2">
        <v>45483</v>
      </c>
      <c r="E8" s="3">
        <v>5633.91</v>
      </c>
      <c r="F8">
        <f t="shared" si="1"/>
        <v>1.0156283642139425E-2</v>
      </c>
      <c r="H8">
        <f t="shared" si="2"/>
        <v>1.8457141179034835E-2</v>
      </c>
      <c r="I8">
        <f t="shared" si="3"/>
        <v>9.9844582453140276E-3</v>
      </c>
      <c r="O8" s="11" t="s">
        <v>55</v>
      </c>
      <c r="P8" s="11">
        <v>1.4859339356391766E-2</v>
      </c>
    </row>
    <row r="9" spans="1:16" x14ac:dyDescent="0.2">
      <c r="A9" s="2">
        <v>45484</v>
      </c>
      <c r="B9" s="1">
        <v>227.57</v>
      </c>
      <c r="C9">
        <f t="shared" si="0"/>
        <v>-2.349472960050368E-2</v>
      </c>
      <c r="D9" s="2">
        <v>45484</v>
      </c>
      <c r="E9" s="3">
        <v>5584.54</v>
      </c>
      <c r="F9">
        <f t="shared" si="1"/>
        <v>-8.8016292301766504E-3</v>
      </c>
      <c r="H9">
        <f t="shared" si="2"/>
        <v>-2.3666554997329076E-2</v>
      </c>
      <c r="I9">
        <f t="shared" si="3"/>
        <v>-8.973454627002048E-3</v>
      </c>
      <c r="K9" s="6" t="s">
        <v>13</v>
      </c>
      <c r="O9" s="11" t="s">
        <v>56</v>
      </c>
      <c r="P9" s="11">
        <v>2.2079996610841328E-4</v>
      </c>
    </row>
    <row r="10" spans="1:16" x14ac:dyDescent="0.2">
      <c r="A10" s="2">
        <v>45485</v>
      </c>
      <c r="B10" s="1">
        <v>230.54</v>
      </c>
      <c r="C10">
        <f t="shared" si="0"/>
        <v>1.2966499801739235E-2</v>
      </c>
      <c r="D10" s="2">
        <v>45485</v>
      </c>
      <c r="E10" s="3">
        <v>5615.35</v>
      </c>
      <c r="F10">
        <f t="shared" si="1"/>
        <v>5.5018536287759819E-3</v>
      </c>
      <c r="H10">
        <f t="shared" si="2"/>
        <v>1.2794674404913838E-2</v>
      </c>
      <c r="I10">
        <f t="shared" si="3"/>
        <v>5.3300282319505852E-3</v>
      </c>
      <c r="K10" t="s">
        <v>10</v>
      </c>
      <c r="M10" t="s">
        <v>22</v>
      </c>
      <c r="O10" s="11" t="s">
        <v>57</v>
      </c>
      <c r="P10" s="11">
        <v>0.95122914389950308</v>
      </c>
    </row>
    <row r="11" spans="1:16" x14ac:dyDescent="0.2">
      <c r="A11" s="2">
        <v>45488</v>
      </c>
      <c r="B11" s="1">
        <v>234.4</v>
      </c>
      <c r="C11">
        <f t="shared" si="0"/>
        <v>1.6604674529990988E-2</v>
      </c>
      <c r="D11" s="2">
        <v>45488</v>
      </c>
      <c r="E11" s="3">
        <v>5631.22</v>
      </c>
      <c r="F11">
        <f t="shared" si="1"/>
        <v>2.822195662042845E-3</v>
      </c>
      <c r="H11">
        <f t="shared" si="2"/>
        <v>1.6432849133165593E-2</v>
      </c>
      <c r="I11">
        <f t="shared" si="3"/>
        <v>2.6503702652174482E-3</v>
      </c>
      <c r="O11" s="11" t="s">
        <v>58</v>
      </c>
      <c r="P11" s="11">
        <v>-0.72630562247460551</v>
      </c>
    </row>
    <row r="12" spans="1:16" x14ac:dyDescent="0.2">
      <c r="A12" s="2">
        <v>45489</v>
      </c>
      <c r="B12" s="1">
        <v>234.82</v>
      </c>
      <c r="C12">
        <f t="shared" si="0"/>
        <v>1.790205499208203E-3</v>
      </c>
      <c r="D12" s="2">
        <v>45489</v>
      </c>
      <c r="E12" s="3">
        <v>5667.2</v>
      </c>
      <c r="F12">
        <f t="shared" si="1"/>
        <v>6.3690536600414091E-3</v>
      </c>
      <c r="H12">
        <f t="shared" si="2"/>
        <v>1.6183801023828062E-3</v>
      </c>
      <c r="I12">
        <f t="shared" si="3"/>
        <v>6.1972282632160123E-3</v>
      </c>
      <c r="K12">
        <f>_xlfn.PERCENTILE.INC(C3:C189,0.05)</f>
        <v>-2.7992462469424103E-2</v>
      </c>
      <c r="M12">
        <f>K12*10000</f>
        <v>-279.924624694241</v>
      </c>
      <c r="O12" s="11" t="s">
        <v>59</v>
      </c>
      <c r="P12" s="11">
        <v>8.608922854934678E-2</v>
      </c>
    </row>
    <row r="13" spans="1:16" x14ac:dyDescent="0.2">
      <c r="A13" s="2">
        <v>45490</v>
      </c>
      <c r="B13" s="1">
        <v>228.88</v>
      </c>
      <c r="C13">
        <f t="shared" si="0"/>
        <v>-2.5621414460210976E-2</v>
      </c>
      <c r="D13" s="2">
        <v>45490</v>
      </c>
      <c r="E13" s="3">
        <v>5588.27</v>
      </c>
      <c r="F13">
        <f t="shared" si="1"/>
        <v>-1.4025410555021933E-2</v>
      </c>
      <c r="H13">
        <f t="shared" si="2"/>
        <v>-2.5793239857036371E-2</v>
      </c>
      <c r="I13">
        <f t="shared" si="3"/>
        <v>-1.4197235951847331E-2</v>
      </c>
      <c r="O13" s="11" t="s">
        <v>60</v>
      </c>
      <c r="P13" s="11">
        <v>-4.9694073639167571E-2</v>
      </c>
    </row>
    <row r="14" spans="1:16" x14ac:dyDescent="0.2">
      <c r="A14" s="2">
        <v>45491</v>
      </c>
      <c r="B14" s="1">
        <v>224.18</v>
      </c>
      <c r="C14">
        <f t="shared" si="0"/>
        <v>-2.0748548148905522E-2</v>
      </c>
      <c r="D14" s="2">
        <v>45491</v>
      </c>
      <c r="E14" s="3">
        <v>5544.59</v>
      </c>
      <c r="F14">
        <f t="shared" si="1"/>
        <v>-7.8470804696827295E-3</v>
      </c>
      <c r="H14">
        <f t="shared" si="2"/>
        <v>-2.0920373545730918E-2</v>
      </c>
      <c r="I14">
        <f t="shared" si="3"/>
        <v>-8.0189058665081272E-3</v>
      </c>
      <c r="O14" s="11" t="s">
        <v>61</v>
      </c>
      <c r="P14" s="11">
        <v>3.6395154910179209E-2</v>
      </c>
    </row>
    <row r="15" spans="1:16" x14ac:dyDescent="0.2">
      <c r="A15" s="2">
        <v>45492</v>
      </c>
      <c r="B15" s="1">
        <v>224.31</v>
      </c>
      <c r="C15">
        <f t="shared" si="0"/>
        <v>5.7972308698451202E-4</v>
      </c>
      <c r="D15" s="2">
        <v>45492</v>
      </c>
      <c r="E15" s="3">
        <v>5505</v>
      </c>
      <c r="F15">
        <f t="shared" si="1"/>
        <v>-7.1659074070294041E-3</v>
      </c>
      <c r="H15">
        <f t="shared" si="2"/>
        <v>4.0789769015911519E-4</v>
      </c>
      <c r="I15">
        <f t="shared" si="3"/>
        <v>-7.3377328038548009E-3</v>
      </c>
      <c r="K15" t="s">
        <v>11</v>
      </c>
      <c r="O15" s="11" t="s">
        <v>62</v>
      </c>
      <c r="P15" s="11">
        <v>2.4518180408879868E-2</v>
      </c>
    </row>
    <row r="16" spans="1:16" ht="17" thickBot="1" x14ac:dyDescent="0.25">
      <c r="A16" s="2">
        <v>45495</v>
      </c>
      <c r="B16" s="1">
        <v>223.96</v>
      </c>
      <c r="C16">
        <f t="shared" si="0"/>
        <v>-1.5615591992412968E-3</v>
      </c>
      <c r="D16" s="2">
        <v>45495</v>
      </c>
      <c r="E16" s="3">
        <v>5564.41</v>
      </c>
      <c r="F16">
        <f t="shared" si="1"/>
        <v>1.0734189165974961E-2</v>
      </c>
      <c r="H16">
        <f t="shared" si="2"/>
        <v>-1.7333845960666935E-3</v>
      </c>
      <c r="I16">
        <f t="shared" si="3"/>
        <v>1.0562363769149563E-2</v>
      </c>
      <c r="O16" s="12" t="s">
        <v>63</v>
      </c>
      <c r="P16" s="12">
        <v>187</v>
      </c>
    </row>
    <row r="17" spans="1:12" x14ac:dyDescent="0.2">
      <c r="A17" s="2">
        <v>45496</v>
      </c>
      <c r="B17" s="1">
        <v>225.01</v>
      </c>
      <c r="C17">
        <f t="shared" si="0"/>
        <v>4.6773811805469389E-3</v>
      </c>
      <c r="D17" s="2">
        <v>45496</v>
      </c>
      <c r="E17" s="3">
        <v>5555.74</v>
      </c>
      <c r="F17">
        <f t="shared" si="1"/>
        <v>-1.5593317997995005E-3</v>
      </c>
      <c r="H17">
        <f t="shared" si="2"/>
        <v>4.5055557837215422E-3</v>
      </c>
      <c r="I17">
        <f t="shared" si="3"/>
        <v>-1.7311571966248972E-3</v>
      </c>
      <c r="K17" s="8">
        <f>SLOPE(H3:H189,I3:I189)</f>
        <v>0.91179463706396668</v>
      </c>
    </row>
    <row r="18" spans="1:12" x14ac:dyDescent="0.2">
      <c r="A18" s="2">
        <v>45497</v>
      </c>
      <c r="B18" s="1">
        <v>218.54</v>
      </c>
      <c r="C18">
        <f t="shared" si="0"/>
        <v>-2.917578151864024E-2</v>
      </c>
      <c r="D18" s="2">
        <v>45497</v>
      </c>
      <c r="E18" s="3">
        <v>5427.13</v>
      </c>
      <c r="F18">
        <f t="shared" si="1"/>
        <v>-2.3421178443889513E-2</v>
      </c>
      <c r="H18">
        <f t="shared" si="2"/>
        <v>-2.9347606915465636E-2</v>
      </c>
      <c r="I18">
        <f t="shared" si="3"/>
        <v>-2.3593003840714909E-2</v>
      </c>
    </row>
    <row r="19" spans="1:12" x14ac:dyDescent="0.2">
      <c r="A19" s="2">
        <v>45498</v>
      </c>
      <c r="B19" s="1">
        <v>217.49</v>
      </c>
      <c r="C19">
        <f t="shared" si="0"/>
        <v>-4.8161916823298888E-3</v>
      </c>
      <c r="D19" s="2">
        <v>45498</v>
      </c>
      <c r="E19" s="3">
        <v>5399.22</v>
      </c>
      <c r="F19">
        <f t="shared" si="1"/>
        <v>-5.1559504042484414E-3</v>
      </c>
      <c r="H19">
        <f t="shared" si="2"/>
        <v>-4.9880170791552856E-3</v>
      </c>
      <c r="I19">
        <f t="shared" si="3"/>
        <v>-5.3277758010738382E-3</v>
      </c>
      <c r="K19" t="s">
        <v>24</v>
      </c>
    </row>
    <row r="20" spans="1:12" x14ac:dyDescent="0.2">
      <c r="A20" s="2">
        <v>45499</v>
      </c>
      <c r="B20" s="1">
        <v>217.96</v>
      </c>
      <c r="C20">
        <f t="shared" si="0"/>
        <v>2.1586872546282805E-3</v>
      </c>
      <c r="D20" s="2">
        <v>45499</v>
      </c>
      <c r="E20" s="3">
        <v>5459.1</v>
      </c>
      <c r="F20">
        <f t="shared" si="1"/>
        <v>1.1029442312488889E-2</v>
      </c>
      <c r="H20">
        <f t="shared" si="2"/>
        <v>1.9868618578028838E-3</v>
      </c>
      <c r="I20">
        <f t="shared" si="3"/>
        <v>1.0857616915663492E-2</v>
      </c>
    </row>
    <row r="21" spans="1:12" x14ac:dyDescent="0.2">
      <c r="A21" s="2">
        <v>45502</v>
      </c>
      <c r="B21" s="1">
        <v>218.24</v>
      </c>
      <c r="C21">
        <f t="shared" si="0"/>
        <v>1.2838149401997857E-3</v>
      </c>
      <c r="D21" s="2">
        <v>45502</v>
      </c>
      <c r="E21" s="3">
        <v>5463.54</v>
      </c>
      <c r="F21">
        <f t="shared" si="1"/>
        <v>8.129903108684501E-4</v>
      </c>
      <c r="H21">
        <f t="shared" si="2"/>
        <v>1.111989543374389E-3</v>
      </c>
      <c r="I21">
        <f t="shared" si="3"/>
        <v>6.4116491404305333E-4</v>
      </c>
      <c r="K21" s="8" cm="1">
        <f t="array" ref="K21:L21">LINEST(H3:H189,I3:I189,FALSE,FALSE)</f>
        <v>0.91179656977087875</v>
      </c>
      <c r="L21">
        <v>0</v>
      </c>
    </row>
    <row r="22" spans="1:12" x14ac:dyDescent="0.2">
      <c r="A22" s="2">
        <v>45503</v>
      </c>
      <c r="B22" s="1">
        <v>218.8</v>
      </c>
      <c r="C22">
        <f t="shared" si="0"/>
        <v>2.5626958927289704E-3</v>
      </c>
      <c r="D22" s="2">
        <v>45503</v>
      </c>
      <c r="E22" s="3">
        <v>5436.44</v>
      </c>
      <c r="F22">
        <f t="shared" si="1"/>
        <v>-4.9724964337360253E-3</v>
      </c>
      <c r="H22">
        <f t="shared" si="2"/>
        <v>2.3908704959035736E-3</v>
      </c>
      <c r="I22">
        <f t="shared" si="3"/>
        <v>-5.144321830561422E-3</v>
      </c>
    </row>
    <row r="23" spans="1:12" x14ac:dyDescent="0.2">
      <c r="A23" s="2">
        <v>45504</v>
      </c>
      <c r="B23" s="1">
        <v>222.08</v>
      </c>
      <c r="C23">
        <f t="shared" si="0"/>
        <v>1.4879606770613507E-2</v>
      </c>
      <c r="D23" s="2">
        <v>45504</v>
      </c>
      <c r="E23" s="3">
        <v>5522.3</v>
      </c>
      <c r="F23">
        <f t="shared" si="1"/>
        <v>1.567000529191805E-2</v>
      </c>
      <c r="H23">
        <f t="shared" si="2"/>
        <v>1.4707781373788109E-2</v>
      </c>
      <c r="I23">
        <f t="shared" si="3"/>
        <v>1.5498179895092652E-2</v>
      </c>
    </row>
    <row r="24" spans="1:12" x14ac:dyDescent="0.2">
      <c r="A24" s="2">
        <v>45505</v>
      </c>
      <c r="B24" s="1">
        <v>218.36</v>
      </c>
      <c r="C24">
        <f t="shared" si="0"/>
        <v>-1.689260040488277E-2</v>
      </c>
      <c r="D24" s="2">
        <v>45505</v>
      </c>
      <c r="E24" s="3">
        <v>5446.68</v>
      </c>
      <c r="F24">
        <f t="shared" si="1"/>
        <v>-1.3788191433053192E-2</v>
      </c>
      <c r="H24">
        <f t="shared" si="2"/>
        <v>-1.7064425801708166E-2</v>
      </c>
      <c r="I24">
        <f t="shared" si="3"/>
        <v>-1.396001682987859E-2</v>
      </c>
    </row>
    <row r="25" spans="1:12" x14ac:dyDescent="0.2">
      <c r="A25" s="2">
        <v>45506</v>
      </c>
      <c r="B25" s="1">
        <v>219.86</v>
      </c>
      <c r="C25">
        <f t="shared" si="0"/>
        <v>6.8459032371609137E-3</v>
      </c>
      <c r="D25" s="2">
        <v>45506</v>
      </c>
      <c r="E25" s="3">
        <v>5346.56</v>
      </c>
      <c r="F25">
        <f t="shared" si="1"/>
        <v>-1.8552885294602865E-2</v>
      </c>
      <c r="H25">
        <f t="shared" si="2"/>
        <v>6.6740778403355169E-3</v>
      </c>
      <c r="I25">
        <f t="shared" si="3"/>
        <v>-1.872471069142826E-2</v>
      </c>
    </row>
    <row r="26" spans="1:12" x14ac:dyDescent="0.2">
      <c r="A26" s="2">
        <v>45509</v>
      </c>
      <c r="B26" s="1">
        <v>209.27</v>
      </c>
      <c r="C26">
        <f t="shared" si="0"/>
        <v>-4.9365695898139543E-2</v>
      </c>
      <c r="D26" s="2">
        <v>45509</v>
      </c>
      <c r="E26" s="3">
        <v>5186.33</v>
      </c>
      <c r="F26">
        <f t="shared" si="1"/>
        <v>-3.0427045496882188E-2</v>
      </c>
      <c r="H26">
        <f t="shared" si="2"/>
        <v>-4.9537521294964942E-2</v>
      </c>
      <c r="I26">
        <f t="shared" si="3"/>
        <v>-3.0598870893707584E-2</v>
      </c>
    </row>
    <row r="27" spans="1:12" x14ac:dyDescent="0.2">
      <c r="A27" s="2">
        <v>45510</v>
      </c>
      <c r="B27" s="1">
        <v>207.23</v>
      </c>
      <c r="C27">
        <f t="shared" si="0"/>
        <v>-9.7959967031821006E-3</v>
      </c>
      <c r="D27" s="2">
        <v>45510</v>
      </c>
      <c r="E27" s="3">
        <v>5240.03</v>
      </c>
      <c r="F27">
        <f t="shared" si="1"/>
        <v>1.0300905557719547E-2</v>
      </c>
      <c r="H27">
        <f t="shared" si="2"/>
        <v>-9.9678221000074983E-3</v>
      </c>
      <c r="I27">
        <f t="shared" si="3"/>
        <v>1.0129080160894149E-2</v>
      </c>
    </row>
    <row r="28" spans="1:12" x14ac:dyDescent="0.2">
      <c r="A28" s="2">
        <v>45511</v>
      </c>
      <c r="B28" s="1">
        <v>209.82</v>
      </c>
      <c r="C28">
        <f t="shared" si="0"/>
        <v>1.2420732753943361E-2</v>
      </c>
      <c r="D28" s="2">
        <v>45511</v>
      </c>
      <c r="E28" s="3">
        <v>5199.5</v>
      </c>
      <c r="F28">
        <f t="shared" si="1"/>
        <v>-7.7647563892511828E-3</v>
      </c>
      <c r="H28">
        <f t="shared" si="2"/>
        <v>1.2248907357117964E-2</v>
      </c>
      <c r="I28">
        <f t="shared" si="3"/>
        <v>-7.9365817860765804E-3</v>
      </c>
    </row>
    <row r="29" spans="1:12" x14ac:dyDescent="0.2">
      <c r="A29" s="2">
        <v>45512</v>
      </c>
      <c r="B29" s="1">
        <v>213.31</v>
      </c>
      <c r="C29">
        <f t="shared" si="0"/>
        <v>1.6496486400387027E-2</v>
      </c>
      <c r="D29" s="2">
        <v>45512</v>
      </c>
      <c r="E29" s="3">
        <v>5319.31</v>
      </c>
      <c r="F29">
        <f t="shared" si="1"/>
        <v>2.2781128575607587E-2</v>
      </c>
      <c r="H29">
        <f t="shared" si="2"/>
        <v>1.6324661003561631E-2</v>
      </c>
      <c r="I29">
        <f t="shared" si="3"/>
        <v>2.2609303178782191E-2</v>
      </c>
    </row>
    <row r="30" spans="1:12" x14ac:dyDescent="0.2">
      <c r="A30" s="2">
        <v>45513</v>
      </c>
      <c r="B30" s="1">
        <v>216.24</v>
      </c>
      <c r="C30">
        <f t="shared" si="0"/>
        <v>1.3642395264465933E-2</v>
      </c>
      <c r="D30" s="2">
        <v>45513</v>
      </c>
      <c r="E30" s="3">
        <v>5344.16</v>
      </c>
      <c r="F30">
        <f t="shared" si="1"/>
        <v>4.660780212150723E-3</v>
      </c>
      <c r="H30">
        <f t="shared" si="2"/>
        <v>1.3470569867640536E-2</v>
      </c>
      <c r="I30">
        <f t="shared" si="3"/>
        <v>4.4889548153253262E-3</v>
      </c>
    </row>
    <row r="31" spans="1:12" x14ac:dyDescent="0.2">
      <c r="A31" s="2">
        <v>45516</v>
      </c>
      <c r="B31" s="1">
        <v>217.53</v>
      </c>
      <c r="C31">
        <f t="shared" si="0"/>
        <v>5.9478700834188188E-3</v>
      </c>
      <c r="D31" s="2">
        <v>45516</v>
      </c>
      <c r="E31" s="3">
        <v>5344.39</v>
      </c>
      <c r="F31">
        <f t="shared" si="1"/>
        <v>4.3036707511422095E-5</v>
      </c>
      <c r="H31">
        <f t="shared" si="2"/>
        <v>5.776044686593422E-3</v>
      </c>
      <c r="I31">
        <f t="shared" si="3"/>
        <v>-1.2878868931397473E-4</v>
      </c>
    </row>
    <row r="32" spans="1:12" x14ac:dyDescent="0.2">
      <c r="A32" s="2">
        <v>45517</v>
      </c>
      <c r="B32" s="1">
        <v>221.27</v>
      </c>
      <c r="C32">
        <f t="shared" si="0"/>
        <v>1.7046903231228767E-2</v>
      </c>
      <c r="D32" s="2">
        <v>45517</v>
      </c>
      <c r="E32" s="3">
        <v>5434.43</v>
      </c>
      <c r="F32">
        <f t="shared" si="1"/>
        <v>1.6707226654933075E-2</v>
      </c>
      <c r="H32">
        <f t="shared" si="2"/>
        <v>1.6875077834403372E-2</v>
      </c>
      <c r="I32">
        <f t="shared" si="3"/>
        <v>1.6535401258107679E-2</v>
      </c>
    </row>
    <row r="33" spans="1:9" x14ac:dyDescent="0.2">
      <c r="A33" s="2">
        <v>45518</v>
      </c>
      <c r="B33" s="1">
        <v>221.72</v>
      </c>
      <c r="C33">
        <f t="shared" si="0"/>
        <v>2.0316492687641797E-3</v>
      </c>
      <c r="D33" s="2">
        <v>45518</v>
      </c>
      <c r="E33" s="3">
        <v>5455.21</v>
      </c>
      <c r="F33">
        <f t="shared" si="1"/>
        <v>3.816476067632372E-3</v>
      </c>
      <c r="H33">
        <f t="shared" si="2"/>
        <v>1.8598238719387829E-3</v>
      </c>
      <c r="I33">
        <f t="shared" si="3"/>
        <v>3.6446506708069752E-3</v>
      </c>
    </row>
    <row r="34" spans="1:9" x14ac:dyDescent="0.2">
      <c r="A34" s="2">
        <v>45519</v>
      </c>
      <c r="B34" s="1">
        <v>224.72</v>
      </c>
      <c r="C34">
        <f t="shared" si="0"/>
        <v>1.3439858244384291E-2</v>
      </c>
      <c r="D34" s="2">
        <v>45519</v>
      </c>
      <c r="E34" s="3">
        <v>5543.22</v>
      </c>
      <c r="F34">
        <f t="shared" si="1"/>
        <v>1.6004444012785939E-2</v>
      </c>
      <c r="H34">
        <f t="shared" si="2"/>
        <v>1.3268032847558894E-2</v>
      </c>
      <c r="I34">
        <f t="shared" si="3"/>
        <v>1.5832618615960543E-2</v>
      </c>
    </row>
    <row r="35" spans="1:9" x14ac:dyDescent="0.2">
      <c r="A35" s="2">
        <v>45520</v>
      </c>
      <c r="B35" s="1">
        <v>226.05</v>
      </c>
      <c r="C35">
        <f t="shared" si="0"/>
        <v>5.9010309446258903E-3</v>
      </c>
      <c r="D35" s="2">
        <v>45520</v>
      </c>
      <c r="E35" s="3">
        <v>5554.25</v>
      </c>
      <c r="F35">
        <f t="shared" si="1"/>
        <v>1.9878411263283945E-3</v>
      </c>
      <c r="H35">
        <f t="shared" si="2"/>
        <v>5.7292055478004936E-3</v>
      </c>
      <c r="I35">
        <f t="shared" si="3"/>
        <v>1.8160157295029978E-3</v>
      </c>
    </row>
    <row r="36" spans="1:9" x14ac:dyDescent="0.2">
      <c r="A36" s="2">
        <v>45523</v>
      </c>
      <c r="B36" s="1">
        <v>225.89</v>
      </c>
      <c r="C36">
        <f t="shared" si="0"/>
        <v>-7.0805862143046461E-4</v>
      </c>
      <c r="D36" s="2">
        <v>45523</v>
      </c>
      <c r="E36" s="3">
        <v>5608.25</v>
      </c>
      <c r="F36">
        <f t="shared" si="1"/>
        <v>9.6753274361777754E-3</v>
      </c>
      <c r="H36">
        <f t="shared" si="2"/>
        <v>-8.798840182558615E-4</v>
      </c>
      <c r="I36">
        <f t="shared" si="3"/>
        <v>9.5035020393523777E-3</v>
      </c>
    </row>
    <row r="37" spans="1:9" x14ac:dyDescent="0.2">
      <c r="A37" s="2">
        <v>45524</v>
      </c>
      <c r="B37" s="1">
        <v>226.51</v>
      </c>
      <c r="C37">
        <f t="shared" si="0"/>
        <v>2.7409389396927126E-3</v>
      </c>
      <c r="D37" s="2">
        <v>45524</v>
      </c>
      <c r="E37" s="3">
        <v>5597.12</v>
      </c>
      <c r="F37">
        <f t="shared" si="1"/>
        <v>-1.9865481747165059E-3</v>
      </c>
      <c r="H37">
        <f t="shared" si="2"/>
        <v>2.5691135428673158E-3</v>
      </c>
      <c r="I37">
        <f t="shared" si="3"/>
        <v>-2.1583735715419027E-3</v>
      </c>
    </row>
    <row r="38" spans="1:9" x14ac:dyDescent="0.2">
      <c r="A38" s="2">
        <v>45525</v>
      </c>
      <c r="B38" s="1">
        <v>226.4</v>
      </c>
      <c r="C38">
        <f t="shared" si="0"/>
        <v>-4.8574772984859386E-4</v>
      </c>
      <c r="D38" s="2">
        <v>45525</v>
      </c>
      <c r="E38" s="3">
        <v>5620.85</v>
      </c>
      <c r="F38">
        <f t="shared" si="1"/>
        <v>4.2307182841846242E-3</v>
      </c>
      <c r="H38">
        <f t="shared" si="2"/>
        <v>-6.5757312667399069E-4</v>
      </c>
      <c r="I38">
        <f t="shared" si="3"/>
        <v>4.0588928873592275E-3</v>
      </c>
    </row>
    <row r="39" spans="1:9" x14ac:dyDescent="0.2">
      <c r="A39" s="2">
        <v>45526</v>
      </c>
      <c r="B39" s="1">
        <v>224.53</v>
      </c>
      <c r="C39">
        <f t="shared" si="0"/>
        <v>-8.2940177849183654E-3</v>
      </c>
      <c r="D39" s="2">
        <v>45526</v>
      </c>
      <c r="E39" s="3">
        <v>5570.64</v>
      </c>
      <c r="F39">
        <f t="shared" si="1"/>
        <v>-8.9729494254644684E-3</v>
      </c>
      <c r="H39">
        <f t="shared" si="2"/>
        <v>-8.4658431817437631E-3</v>
      </c>
      <c r="I39">
        <f t="shared" si="3"/>
        <v>-9.144774822289866E-3</v>
      </c>
    </row>
    <row r="40" spans="1:9" x14ac:dyDescent="0.2">
      <c r="A40" s="2">
        <v>45527</v>
      </c>
      <c r="B40" s="1">
        <v>226.84</v>
      </c>
      <c r="C40">
        <f t="shared" si="0"/>
        <v>1.0235594601717834E-2</v>
      </c>
      <c r="D40" s="2">
        <v>45527</v>
      </c>
      <c r="E40" s="3">
        <v>5634.61</v>
      </c>
      <c r="F40">
        <f t="shared" si="1"/>
        <v>1.1417986208502448E-2</v>
      </c>
      <c r="H40">
        <f t="shared" si="2"/>
        <v>1.0063769204892437E-2</v>
      </c>
      <c r="I40">
        <f t="shared" si="3"/>
        <v>1.124616081167705E-2</v>
      </c>
    </row>
    <row r="41" spans="1:9" x14ac:dyDescent="0.2">
      <c r="A41" s="2">
        <v>45530</v>
      </c>
      <c r="B41" s="1">
        <v>227.18</v>
      </c>
      <c r="C41">
        <f t="shared" si="0"/>
        <v>1.497731657448228E-3</v>
      </c>
      <c r="D41" s="2">
        <v>45530</v>
      </c>
      <c r="E41" s="3">
        <v>5616.84</v>
      </c>
      <c r="F41">
        <f t="shared" si="1"/>
        <v>-3.1587066155747872E-3</v>
      </c>
      <c r="H41">
        <f t="shared" si="2"/>
        <v>1.3259062606228312E-3</v>
      </c>
      <c r="I41">
        <f t="shared" si="3"/>
        <v>-3.3305320124001839E-3</v>
      </c>
    </row>
    <row r="42" spans="1:9" x14ac:dyDescent="0.2">
      <c r="A42" s="2">
        <v>45531</v>
      </c>
      <c r="B42" s="1">
        <v>228.03</v>
      </c>
      <c r="C42">
        <f t="shared" si="0"/>
        <v>3.7345444427833042E-3</v>
      </c>
      <c r="D42" s="2">
        <v>45531</v>
      </c>
      <c r="E42" s="3">
        <v>5625.8</v>
      </c>
      <c r="F42">
        <f t="shared" si="1"/>
        <v>1.5939320118754585E-3</v>
      </c>
      <c r="H42">
        <f t="shared" si="2"/>
        <v>3.5627190459579074E-3</v>
      </c>
      <c r="I42">
        <f t="shared" si="3"/>
        <v>1.4221066150500617E-3</v>
      </c>
    </row>
    <row r="43" spans="1:9" x14ac:dyDescent="0.2">
      <c r="A43" s="2">
        <v>45532</v>
      </c>
      <c r="B43" s="1">
        <v>226.49</v>
      </c>
      <c r="C43">
        <f t="shared" si="0"/>
        <v>-6.7764054079900871E-3</v>
      </c>
      <c r="D43" s="2">
        <v>45532</v>
      </c>
      <c r="E43" s="3">
        <v>5592.18</v>
      </c>
      <c r="F43">
        <f t="shared" si="1"/>
        <v>-5.9939669454233853E-3</v>
      </c>
      <c r="H43">
        <f t="shared" si="2"/>
        <v>-6.9482308048154839E-3</v>
      </c>
      <c r="I43">
        <f t="shared" si="3"/>
        <v>-6.1657923422487821E-3</v>
      </c>
    </row>
    <row r="44" spans="1:9" x14ac:dyDescent="0.2">
      <c r="A44" s="2">
        <v>45533</v>
      </c>
      <c r="B44" s="1">
        <v>229.79</v>
      </c>
      <c r="C44">
        <f t="shared" si="0"/>
        <v>1.4465054528776243E-2</v>
      </c>
      <c r="D44" s="2">
        <v>45533</v>
      </c>
      <c r="E44" s="3">
        <v>5591.96</v>
      </c>
      <c r="F44">
        <f t="shared" si="1"/>
        <v>-3.934142455813639E-5</v>
      </c>
      <c r="H44">
        <f t="shared" si="2"/>
        <v>1.4293229131950845E-2</v>
      </c>
      <c r="I44">
        <f t="shared" si="3"/>
        <v>-2.1116682138353323E-4</v>
      </c>
    </row>
    <row r="45" spans="1:9" x14ac:dyDescent="0.2">
      <c r="A45" s="2">
        <v>45534</v>
      </c>
      <c r="B45" s="1">
        <v>229</v>
      </c>
      <c r="C45">
        <f t="shared" si="0"/>
        <v>-3.4438448126052909E-3</v>
      </c>
      <c r="D45" s="2">
        <v>45534</v>
      </c>
      <c r="E45" s="3">
        <v>5648.4</v>
      </c>
      <c r="F45">
        <f t="shared" si="1"/>
        <v>1.0042467382856683E-2</v>
      </c>
      <c r="H45">
        <f t="shared" si="2"/>
        <v>-3.6156702094306877E-3</v>
      </c>
      <c r="I45">
        <f t="shared" si="3"/>
        <v>9.8706419860312856E-3</v>
      </c>
    </row>
    <row r="46" spans="1:9" x14ac:dyDescent="0.2">
      <c r="A46" s="2">
        <v>45538</v>
      </c>
      <c r="B46" s="1">
        <v>222.77</v>
      </c>
      <c r="C46">
        <f t="shared" si="0"/>
        <v>-2.7582154477457006E-2</v>
      </c>
      <c r="D46" s="2">
        <v>45538</v>
      </c>
      <c r="E46" s="3">
        <v>5528.93</v>
      </c>
      <c r="F46">
        <f t="shared" si="1"/>
        <v>-2.137801245458143E-2</v>
      </c>
      <c r="H46">
        <f t="shared" si="2"/>
        <v>-2.7753979874282401E-2</v>
      </c>
      <c r="I46">
        <f t="shared" si="3"/>
        <v>-2.1549837851406826E-2</v>
      </c>
    </row>
    <row r="47" spans="1:9" x14ac:dyDescent="0.2">
      <c r="A47" s="2">
        <v>45539</v>
      </c>
      <c r="B47" s="1">
        <v>220.85</v>
      </c>
      <c r="C47">
        <f t="shared" si="0"/>
        <v>-8.6561110342471426E-3</v>
      </c>
      <c r="D47" s="2">
        <v>45539</v>
      </c>
      <c r="E47" s="3">
        <v>5520.07</v>
      </c>
      <c r="F47">
        <f t="shared" si="1"/>
        <v>-1.6037653903594354E-3</v>
      </c>
      <c r="H47">
        <f t="shared" si="2"/>
        <v>-8.8279364310725403E-3</v>
      </c>
      <c r="I47">
        <f t="shared" si="3"/>
        <v>-1.7755907871848321E-3</v>
      </c>
    </row>
    <row r="48" spans="1:9" x14ac:dyDescent="0.2">
      <c r="A48" s="2">
        <v>45540</v>
      </c>
      <c r="B48" s="1">
        <v>222.38</v>
      </c>
      <c r="C48">
        <f t="shared" si="0"/>
        <v>6.9038922325676197E-3</v>
      </c>
      <c r="D48" s="2">
        <v>45540</v>
      </c>
      <c r="E48" s="3">
        <v>5503.41</v>
      </c>
      <c r="F48">
        <f t="shared" si="1"/>
        <v>-3.0226412501879545E-3</v>
      </c>
      <c r="H48">
        <f t="shared" si="2"/>
        <v>6.7320668357422229E-3</v>
      </c>
      <c r="I48">
        <f t="shared" si="3"/>
        <v>-3.1944666470133513E-3</v>
      </c>
    </row>
    <row r="49" spans="1:9" x14ac:dyDescent="0.2">
      <c r="A49" s="2">
        <v>45541</v>
      </c>
      <c r="B49" s="1">
        <v>220.82</v>
      </c>
      <c r="C49">
        <f t="shared" si="0"/>
        <v>-7.0397402641122122E-3</v>
      </c>
      <c r="D49" s="2">
        <v>45541</v>
      </c>
      <c r="E49" s="3">
        <v>5408.42</v>
      </c>
      <c r="F49">
        <f t="shared" si="1"/>
        <v>-1.7410901670867562E-2</v>
      </c>
      <c r="H49">
        <f t="shared" si="2"/>
        <v>-7.211565660937609E-3</v>
      </c>
      <c r="I49">
        <f t="shared" si="3"/>
        <v>-1.7582727067692958E-2</v>
      </c>
    </row>
    <row r="50" spans="1:9" x14ac:dyDescent="0.2">
      <c r="A50" s="2">
        <v>45544</v>
      </c>
      <c r="B50" s="1">
        <v>220.91</v>
      </c>
      <c r="C50">
        <f t="shared" si="0"/>
        <v>4.0748874310253498E-4</v>
      </c>
      <c r="D50" s="2">
        <v>45544</v>
      </c>
      <c r="E50" s="3">
        <v>5471.05</v>
      </c>
      <c r="F50">
        <f t="shared" si="1"/>
        <v>1.1513555690021488E-2</v>
      </c>
      <c r="H50">
        <f t="shared" si="2"/>
        <v>2.3566334627713815E-4</v>
      </c>
      <c r="I50">
        <f t="shared" si="3"/>
        <v>1.134173029319609E-2</v>
      </c>
    </row>
    <row r="51" spans="1:9" x14ac:dyDescent="0.2">
      <c r="A51" s="2">
        <v>45545</v>
      </c>
      <c r="B51" s="1">
        <v>220.11</v>
      </c>
      <c r="C51">
        <f t="shared" si="0"/>
        <v>-3.6279573600808664E-3</v>
      </c>
      <c r="D51" s="2">
        <v>45545</v>
      </c>
      <c r="E51" s="3">
        <v>5495.52</v>
      </c>
      <c r="F51">
        <f t="shared" si="1"/>
        <v>4.4626607244902189E-3</v>
      </c>
      <c r="H51">
        <f t="shared" si="2"/>
        <v>-3.7997827569062632E-3</v>
      </c>
      <c r="I51">
        <f t="shared" si="3"/>
        <v>4.2908353276648221E-3</v>
      </c>
    </row>
    <row r="52" spans="1:9" x14ac:dyDescent="0.2">
      <c r="A52" s="2">
        <v>45546</v>
      </c>
      <c r="B52" s="1">
        <v>222.66</v>
      </c>
      <c r="C52">
        <f t="shared" si="0"/>
        <v>1.1518522906548473E-2</v>
      </c>
      <c r="D52" s="2">
        <v>45546</v>
      </c>
      <c r="E52" s="3">
        <v>5554.13</v>
      </c>
      <c r="F52">
        <f t="shared" si="1"/>
        <v>1.0608580303038784E-2</v>
      </c>
      <c r="H52">
        <f t="shared" si="2"/>
        <v>1.1346697509723076E-2</v>
      </c>
      <c r="I52">
        <f t="shared" si="3"/>
        <v>1.0436754906213387E-2</v>
      </c>
    </row>
    <row r="53" spans="1:9" x14ac:dyDescent="0.2">
      <c r="A53" s="2">
        <v>45547</v>
      </c>
      <c r="B53" s="1">
        <v>222.77</v>
      </c>
      <c r="C53">
        <f t="shared" si="0"/>
        <v>4.9390477622147076E-4</v>
      </c>
      <c r="D53" s="2">
        <v>45547</v>
      </c>
      <c r="E53" s="3">
        <v>5595.76</v>
      </c>
      <c r="F53">
        <f t="shared" si="1"/>
        <v>7.46737294203047E-3</v>
      </c>
      <c r="H53">
        <f t="shared" si="2"/>
        <v>3.2207937939607393E-4</v>
      </c>
      <c r="I53">
        <f t="shared" si="3"/>
        <v>7.2955475452050732E-3</v>
      </c>
    </row>
    <row r="54" spans="1:9" x14ac:dyDescent="0.2">
      <c r="A54" s="2">
        <v>45548</v>
      </c>
      <c r="B54" s="1">
        <v>222.5</v>
      </c>
      <c r="C54">
        <f t="shared" si="0"/>
        <v>-1.2127474704876769E-3</v>
      </c>
      <c r="D54" s="2">
        <v>45548</v>
      </c>
      <c r="E54" s="3">
        <v>5626.02</v>
      </c>
      <c r="F54">
        <f t="shared" si="1"/>
        <v>5.3930968783714164E-3</v>
      </c>
      <c r="H54">
        <f t="shared" si="2"/>
        <v>-1.3845728673130737E-3</v>
      </c>
      <c r="I54">
        <f t="shared" si="3"/>
        <v>5.2212714815460196E-3</v>
      </c>
    </row>
    <row r="55" spans="1:9" x14ac:dyDescent="0.2">
      <c r="A55" s="2">
        <v>45551</v>
      </c>
      <c r="B55" s="1">
        <v>216.32</v>
      </c>
      <c r="C55">
        <f t="shared" si="0"/>
        <v>-2.8168308751695719E-2</v>
      </c>
      <c r="D55" s="2">
        <v>45551</v>
      </c>
      <c r="E55" s="3">
        <v>5633.09</v>
      </c>
      <c r="F55">
        <f t="shared" si="1"/>
        <v>1.2558720767880025E-3</v>
      </c>
      <c r="H55">
        <f t="shared" si="2"/>
        <v>-2.8340134148521115E-2</v>
      </c>
      <c r="I55">
        <f t="shared" si="3"/>
        <v>1.0840466799626057E-3</v>
      </c>
    </row>
    <row r="56" spans="1:9" x14ac:dyDescent="0.2">
      <c r="A56" s="2">
        <v>45552</v>
      </c>
      <c r="B56" s="1">
        <v>216.79</v>
      </c>
      <c r="C56">
        <f t="shared" si="0"/>
        <v>2.1703501858254429E-3</v>
      </c>
      <c r="D56" s="2">
        <v>45552</v>
      </c>
      <c r="E56" s="3">
        <v>5634.58</v>
      </c>
      <c r="F56">
        <f t="shared" si="1"/>
        <v>2.6447349073670164E-4</v>
      </c>
      <c r="H56">
        <f t="shared" si="2"/>
        <v>1.9985247890000461E-3</v>
      </c>
      <c r="I56">
        <f t="shared" si="3"/>
        <v>9.264809391130481E-5</v>
      </c>
    </row>
    <row r="57" spans="1:9" x14ac:dyDescent="0.2">
      <c r="A57" s="2">
        <v>45553</v>
      </c>
      <c r="B57" s="1">
        <v>220.69</v>
      </c>
      <c r="C57">
        <f t="shared" si="0"/>
        <v>1.7829858819643829E-2</v>
      </c>
      <c r="D57" s="2">
        <v>45553</v>
      </c>
      <c r="E57" s="3">
        <v>5618.26</v>
      </c>
      <c r="F57">
        <f t="shared" si="1"/>
        <v>-2.9006031263851696E-3</v>
      </c>
      <c r="H57">
        <f t="shared" si="2"/>
        <v>1.7658033422818433E-2</v>
      </c>
      <c r="I57">
        <f t="shared" si="3"/>
        <v>-3.0724285232105663E-3</v>
      </c>
    </row>
    <row r="58" spans="1:9" x14ac:dyDescent="0.2">
      <c r="A58" s="2">
        <v>45554</v>
      </c>
      <c r="B58" s="1">
        <v>228.87</v>
      </c>
      <c r="C58">
        <f t="shared" si="0"/>
        <v>3.6395154910179209E-2</v>
      </c>
      <c r="D58" s="2">
        <v>45554</v>
      </c>
      <c r="E58" s="3">
        <v>5713.64</v>
      </c>
      <c r="F58">
        <f t="shared" si="1"/>
        <v>1.6834291247586949E-2</v>
      </c>
      <c r="H58">
        <f t="shared" si="2"/>
        <v>3.6223329513353809E-2</v>
      </c>
      <c r="I58">
        <f t="shared" si="3"/>
        <v>1.6662465850761553E-2</v>
      </c>
    </row>
    <row r="59" spans="1:9" x14ac:dyDescent="0.2">
      <c r="A59" s="2">
        <v>45555</v>
      </c>
      <c r="B59" s="1">
        <v>228.2</v>
      </c>
      <c r="C59">
        <f t="shared" si="0"/>
        <v>-2.9317193422724623E-3</v>
      </c>
      <c r="D59" s="2">
        <v>45555</v>
      </c>
      <c r="E59" s="3">
        <v>5702.55</v>
      </c>
      <c r="F59">
        <f t="shared" si="1"/>
        <v>-1.942855451501775E-3</v>
      </c>
      <c r="H59">
        <f t="shared" si="2"/>
        <v>-3.1035447390978591E-3</v>
      </c>
      <c r="I59">
        <f t="shared" si="3"/>
        <v>-2.1146808483271718E-3</v>
      </c>
    </row>
    <row r="60" spans="1:9" x14ac:dyDescent="0.2">
      <c r="A60" s="2">
        <v>45558</v>
      </c>
      <c r="B60" s="1">
        <v>226.47</v>
      </c>
      <c r="C60">
        <f t="shared" si="0"/>
        <v>-7.6099516083320351E-3</v>
      </c>
      <c r="D60" s="2">
        <v>45558</v>
      </c>
      <c r="E60" s="3">
        <v>5718.57</v>
      </c>
      <c r="F60">
        <f t="shared" si="1"/>
        <v>2.8053309143568263E-3</v>
      </c>
      <c r="H60">
        <f t="shared" si="2"/>
        <v>-7.7817770051574319E-3</v>
      </c>
      <c r="I60">
        <f t="shared" si="3"/>
        <v>2.6335055175314296E-3</v>
      </c>
    </row>
    <row r="61" spans="1:9" x14ac:dyDescent="0.2">
      <c r="A61" s="2">
        <v>45559</v>
      </c>
      <c r="B61" s="1">
        <v>227.37</v>
      </c>
      <c r="C61">
        <f t="shared" si="0"/>
        <v>3.9661606724042875E-3</v>
      </c>
      <c r="D61" s="2">
        <v>45559</v>
      </c>
      <c r="E61" s="3">
        <v>5732.93</v>
      </c>
      <c r="F61">
        <f t="shared" si="1"/>
        <v>2.5079697029956895E-3</v>
      </c>
      <c r="H61">
        <f t="shared" si="2"/>
        <v>3.7943352755788907E-3</v>
      </c>
      <c r="I61">
        <f t="shared" si="3"/>
        <v>2.3361443061702927E-3</v>
      </c>
    </row>
    <row r="62" spans="1:9" x14ac:dyDescent="0.2">
      <c r="A62" s="2">
        <v>45560</v>
      </c>
      <c r="B62" s="1">
        <v>226.37</v>
      </c>
      <c r="C62">
        <f t="shared" si="0"/>
        <v>-4.407817777012997E-3</v>
      </c>
      <c r="D62" s="2">
        <v>45560</v>
      </c>
      <c r="E62" s="3">
        <v>5722.26</v>
      </c>
      <c r="F62">
        <f t="shared" si="1"/>
        <v>-1.8629115860669923E-3</v>
      </c>
      <c r="H62">
        <f t="shared" si="2"/>
        <v>-4.5796431738383938E-3</v>
      </c>
      <c r="I62">
        <f t="shared" si="3"/>
        <v>-2.0347369828923891E-3</v>
      </c>
    </row>
    <row r="63" spans="1:9" x14ac:dyDescent="0.2">
      <c r="A63" s="2">
        <v>45561</v>
      </c>
      <c r="B63" s="1">
        <v>227.52</v>
      </c>
      <c r="C63">
        <f t="shared" si="0"/>
        <v>5.0673178998415468E-3</v>
      </c>
      <c r="D63" s="2">
        <v>45561</v>
      </c>
      <c r="E63" s="3">
        <v>5745.37</v>
      </c>
      <c r="F63">
        <f t="shared" si="1"/>
        <v>4.0304808028723289E-3</v>
      </c>
      <c r="H63">
        <f t="shared" si="2"/>
        <v>4.89549250301615E-3</v>
      </c>
      <c r="I63">
        <f t="shared" si="3"/>
        <v>3.8586554060469321E-3</v>
      </c>
    </row>
    <row r="64" spans="1:9" x14ac:dyDescent="0.2">
      <c r="A64" s="2">
        <v>45562</v>
      </c>
      <c r="B64" s="1">
        <v>227.79</v>
      </c>
      <c r="C64">
        <f t="shared" si="0"/>
        <v>1.1860052783758518E-3</v>
      </c>
      <c r="D64" s="2">
        <v>45562</v>
      </c>
      <c r="E64" s="3">
        <v>5738.17</v>
      </c>
      <c r="F64">
        <f t="shared" si="1"/>
        <v>-1.2539688882457197E-3</v>
      </c>
      <c r="H64">
        <f t="shared" si="2"/>
        <v>1.0141798815504551E-3</v>
      </c>
      <c r="I64">
        <f t="shared" si="3"/>
        <v>-1.4257942850711164E-3</v>
      </c>
    </row>
    <row r="65" spans="1:9" x14ac:dyDescent="0.2">
      <c r="A65" s="2">
        <v>45565</v>
      </c>
      <c r="B65" s="1">
        <v>233</v>
      </c>
      <c r="C65">
        <f t="shared" si="0"/>
        <v>2.2614301672448562E-2</v>
      </c>
      <c r="D65" s="2">
        <v>45565</v>
      </c>
      <c r="E65" s="3">
        <v>5762.48</v>
      </c>
      <c r="F65">
        <f t="shared" si="1"/>
        <v>4.227593432856073E-3</v>
      </c>
      <c r="H65">
        <f t="shared" si="2"/>
        <v>2.2442476275623166E-2</v>
      </c>
      <c r="I65">
        <f t="shared" si="3"/>
        <v>4.0557680360306762E-3</v>
      </c>
    </row>
    <row r="66" spans="1:9" x14ac:dyDescent="0.2">
      <c r="A66" s="2">
        <v>45566</v>
      </c>
      <c r="B66" s="1">
        <v>226.21</v>
      </c>
      <c r="C66">
        <f t="shared" si="0"/>
        <v>-2.9574682195956357E-2</v>
      </c>
      <c r="D66" s="2">
        <v>45566</v>
      </c>
      <c r="E66" s="3">
        <v>5708.75</v>
      </c>
      <c r="F66">
        <f t="shared" si="1"/>
        <v>-9.3678520838370288E-3</v>
      </c>
      <c r="H66">
        <f t="shared" si="2"/>
        <v>-2.9746507592781753E-2</v>
      </c>
      <c r="I66">
        <f t="shared" si="3"/>
        <v>-9.5396774806624264E-3</v>
      </c>
    </row>
    <row r="67" spans="1:9" x14ac:dyDescent="0.2">
      <c r="A67" s="2">
        <v>45567</v>
      </c>
      <c r="B67" s="1">
        <v>226.78</v>
      </c>
      <c r="C67">
        <f t="shared" si="0"/>
        <v>2.5166131739495158E-3</v>
      </c>
      <c r="D67" s="2">
        <v>45567</v>
      </c>
      <c r="E67" s="3">
        <v>5709.54</v>
      </c>
      <c r="F67">
        <f t="shared" si="1"/>
        <v>1.3837448536698041E-4</v>
      </c>
      <c r="H67">
        <f t="shared" si="2"/>
        <v>2.344787777124119E-3</v>
      </c>
      <c r="I67">
        <f t="shared" si="3"/>
        <v>-3.3450911458416418E-5</v>
      </c>
    </row>
    <row r="68" spans="1:9" x14ac:dyDescent="0.2">
      <c r="A68" s="2">
        <v>45568</v>
      </c>
      <c r="B68" s="1">
        <v>225.67</v>
      </c>
      <c r="C68">
        <f t="shared" ref="C68:C131" si="4">LN(B68/B67)</f>
        <v>-4.9066293598749146E-3</v>
      </c>
      <c r="D68" s="2">
        <v>45568</v>
      </c>
      <c r="E68" s="3">
        <v>5699.94</v>
      </c>
      <c r="F68">
        <f t="shared" ref="F68:F131" si="5">LN(E68/E67)</f>
        <v>-1.6828115331257495E-3</v>
      </c>
      <c r="H68">
        <f t="shared" ref="H68:H131" si="6">C68-$G$2/252</f>
        <v>-5.0784547567003114E-3</v>
      </c>
      <c r="I68">
        <f t="shared" ref="I68:I131" si="7">F68-$G$2/252</f>
        <v>-1.8546369299511463E-3</v>
      </c>
    </row>
    <row r="69" spans="1:9" x14ac:dyDescent="0.2">
      <c r="A69" s="2">
        <v>45569</v>
      </c>
      <c r="B69" s="1">
        <v>226.8</v>
      </c>
      <c r="C69">
        <f t="shared" si="4"/>
        <v>4.9948166697781288E-3</v>
      </c>
      <c r="D69" s="2">
        <v>45569</v>
      </c>
      <c r="E69" s="3">
        <v>5751.07</v>
      </c>
      <c r="F69">
        <f t="shared" si="5"/>
        <v>8.9302759844378885E-3</v>
      </c>
      <c r="H69">
        <f t="shared" si="6"/>
        <v>4.822991272952732E-3</v>
      </c>
      <c r="I69">
        <f t="shared" si="7"/>
        <v>8.7584505876124909E-3</v>
      </c>
    </row>
    <row r="70" spans="1:9" x14ac:dyDescent="0.2">
      <c r="A70" s="2">
        <v>45572</v>
      </c>
      <c r="B70" s="1">
        <v>221.69</v>
      </c>
      <c r="C70">
        <f t="shared" si="4"/>
        <v>-2.2788562247735331E-2</v>
      </c>
      <c r="D70" s="2">
        <v>45572</v>
      </c>
      <c r="E70" s="3">
        <v>5695.94</v>
      </c>
      <c r="F70">
        <f t="shared" si="5"/>
        <v>-9.6322841074211688E-3</v>
      </c>
      <c r="H70">
        <f t="shared" si="6"/>
        <v>-2.2960387644560726E-2</v>
      </c>
      <c r="I70">
        <f t="shared" si="7"/>
        <v>-9.8041095042465665E-3</v>
      </c>
    </row>
    <row r="71" spans="1:9" x14ac:dyDescent="0.2">
      <c r="A71" s="2">
        <v>45573</v>
      </c>
      <c r="B71" s="1">
        <v>225.77</v>
      </c>
      <c r="C71">
        <f t="shared" si="4"/>
        <v>1.8236772344019592E-2</v>
      </c>
      <c r="D71" s="2">
        <v>45573</v>
      </c>
      <c r="E71" s="3">
        <v>5751.13</v>
      </c>
      <c r="F71">
        <f t="shared" si="5"/>
        <v>9.6427168941927138E-3</v>
      </c>
      <c r="H71">
        <f t="shared" si="6"/>
        <v>1.8064946947194196E-2</v>
      </c>
      <c r="I71">
        <f t="shared" si="7"/>
        <v>9.4708914973673161E-3</v>
      </c>
    </row>
    <row r="72" spans="1:9" x14ac:dyDescent="0.2">
      <c r="A72" s="2">
        <v>45574</v>
      </c>
      <c r="B72" s="1">
        <v>229.54</v>
      </c>
      <c r="C72">
        <f t="shared" si="4"/>
        <v>1.6560524302640989E-2</v>
      </c>
      <c r="D72" s="2">
        <v>45574</v>
      </c>
      <c r="E72" s="3">
        <v>5792.04</v>
      </c>
      <c r="F72">
        <f t="shared" si="5"/>
        <v>7.0882038963943272E-3</v>
      </c>
      <c r="H72">
        <f t="shared" si="6"/>
        <v>1.6388698905815593E-2</v>
      </c>
      <c r="I72">
        <f t="shared" si="7"/>
        <v>6.9163784995689304E-3</v>
      </c>
    </row>
    <row r="73" spans="1:9" x14ac:dyDescent="0.2">
      <c r="A73" s="2">
        <v>45575</v>
      </c>
      <c r="B73" s="1">
        <v>229.04</v>
      </c>
      <c r="C73">
        <f t="shared" si="4"/>
        <v>-2.1806454626626935E-3</v>
      </c>
      <c r="D73" s="2">
        <v>45575</v>
      </c>
      <c r="E73" s="3">
        <v>5780.05</v>
      </c>
      <c r="F73">
        <f t="shared" si="5"/>
        <v>-2.0722279710146596E-3</v>
      </c>
      <c r="H73">
        <f t="shared" si="6"/>
        <v>-2.3524708594880902E-3</v>
      </c>
      <c r="I73">
        <f t="shared" si="7"/>
        <v>-2.2440533678400564E-3</v>
      </c>
    </row>
    <row r="74" spans="1:9" x14ac:dyDescent="0.2">
      <c r="A74" s="2">
        <v>45576</v>
      </c>
      <c r="B74" s="1">
        <v>227.55</v>
      </c>
      <c r="C74">
        <f t="shared" si="4"/>
        <v>-6.5266663272085766E-3</v>
      </c>
      <c r="D74" s="2">
        <v>45576</v>
      </c>
      <c r="E74" s="3">
        <v>5815.03</v>
      </c>
      <c r="F74">
        <f t="shared" si="5"/>
        <v>6.0336118627852325E-3</v>
      </c>
      <c r="H74">
        <f t="shared" si="6"/>
        <v>-6.6984917240339734E-3</v>
      </c>
      <c r="I74">
        <f t="shared" si="7"/>
        <v>5.8617864659598357E-3</v>
      </c>
    </row>
    <row r="75" spans="1:9" x14ac:dyDescent="0.2">
      <c r="A75" s="2">
        <v>45579</v>
      </c>
      <c r="B75" s="1">
        <v>231.3</v>
      </c>
      <c r="C75">
        <f t="shared" si="4"/>
        <v>1.6345574774742577E-2</v>
      </c>
      <c r="D75" s="2">
        <v>45579</v>
      </c>
      <c r="E75" s="3">
        <v>5859.85</v>
      </c>
      <c r="F75">
        <f t="shared" si="5"/>
        <v>7.6780609629941675E-3</v>
      </c>
      <c r="H75">
        <f t="shared" si="6"/>
        <v>1.6173749377917181E-2</v>
      </c>
      <c r="I75">
        <f t="shared" si="7"/>
        <v>7.5062355661687707E-3</v>
      </c>
    </row>
    <row r="76" spans="1:9" x14ac:dyDescent="0.2">
      <c r="A76" s="2">
        <v>45580</v>
      </c>
      <c r="B76" s="1">
        <v>233.85</v>
      </c>
      <c r="C76">
        <f t="shared" si="4"/>
        <v>1.0964314934501682E-2</v>
      </c>
      <c r="D76" s="2">
        <v>45580</v>
      </c>
      <c r="E76" s="3">
        <v>5815.26</v>
      </c>
      <c r="F76">
        <f t="shared" si="5"/>
        <v>-7.6385090687541464E-3</v>
      </c>
      <c r="H76">
        <f t="shared" si="6"/>
        <v>1.0792489537676284E-2</v>
      </c>
      <c r="I76">
        <f t="shared" si="7"/>
        <v>-7.8103344655795432E-3</v>
      </c>
    </row>
    <row r="77" spans="1:9" x14ac:dyDescent="0.2">
      <c r="A77" s="2">
        <v>45581</v>
      </c>
      <c r="B77" s="1">
        <v>231.78</v>
      </c>
      <c r="C77">
        <f t="shared" si="4"/>
        <v>-8.8912382656501972E-3</v>
      </c>
      <c r="D77" s="2">
        <v>45581</v>
      </c>
      <c r="E77" s="3">
        <v>5842.47</v>
      </c>
      <c r="F77">
        <f t="shared" si="5"/>
        <v>4.6681557065759915E-3</v>
      </c>
      <c r="H77">
        <f t="shared" si="6"/>
        <v>-9.0630636624755949E-3</v>
      </c>
      <c r="I77">
        <f t="shared" si="7"/>
        <v>4.4963303097505947E-3</v>
      </c>
    </row>
    <row r="78" spans="1:9" x14ac:dyDescent="0.2">
      <c r="A78" s="2">
        <v>45582</v>
      </c>
      <c r="B78" s="1">
        <v>232.15</v>
      </c>
      <c r="C78">
        <f t="shared" si="4"/>
        <v>1.5950685596858294E-3</v>
      </c>
      <c r="D78" s="2">
        <v>45582</v>
      </c>
      <c r="E78" s="3">
        <v>5841.47</v>
      </c>
      <c r="F78">
        <f t="shared" si="5"/>
        <v>-1.7117513483320916E-4</v>
      </c>
      <c r="H78">
        <f t="shared" si="6"/>
        <v>1.4232431628604326E-3</v>
      </c>
      <c r="I78">
        <f t="shared" si="7"/>
        <v>-3.4300053165860602E-4</v>
      </c>
    </row>
    <row r="79" spans="1:9" x14ac:dyDescent="0.2">
      <c r="A79" s="2">
        <v>45583</v>
      </c>
      <c r="B79" s="1">
        <v>235</v>
      </c>
      <c r="C79">
        <f t="shared" si="4"/>
        <v>1.2201799678228265E-2</v>
      </c>
      <c r="D79" s="2">
        <v>45583</v>
      </c>
      <c r="E79" s="3">
        <v>5864.67</v>
      </c>
      <c r="F79">
        <f t="shared" si="5"/>
        <v>3.9637370431245362E-3</v>
      </c>
      <c r="H79">
        <f t="shared" si="6"/>
        <v>1.2029974281402867E-2</v>
      </c>
      <c r="I79">
        <f t="shared" si="7"/>
        <v>3.7919116462991394E-3</v>
      </c>
    </row>
    <row r="80" spans="1:9" x14ac:dyDescent="0.2">
      <c r="A80" s="2">
        <v>45586</v>
      </c>
      <c r="B80" s="1">
        <v>236.48</v>
      </c>
      <c r="C80">
        <f t="shared" si="4"/>
        <v>6.278123615677908E-3</v>
      </c>
      <c r="D80" s="2">
        <v>45586</v>
      </c>
      <c r="E80" s="3">
        <v>5853.98</v>
      </c>
      <c r="F80">
        <f t="shared" si="5"/>
        <v>-1.8244427413090425E-3</v>
      </c>
      <c r="H80">
        <f t="shared" si="6"/>
        <v>6.1062982188525112E-3</v>
      </c>
      <c r="I80">
        <f t="shared" si="7"/>
        <v>-1.9962681381344395E-3</v>
      </c>
    </row>
    <row r="81" spans="1:9" x14ac:dyDescent="0.2">
      <c r="A81" s="2">
        <v>45587</v>
      </c>
      <c r="B81" s="1">
        <v>235.86</v>
      </c>
      <c r="C81">
        <f t="shared" si="4"/>
        <v>-2.625229098012868E-3</v>
      </c>
      <c r="D81" s="2">
        <v>45587</v>
      </c>
      <c r="E81" s="3">
        <v>5851.2</v>
      </c>
      <c r="F81">
        <f t="shared" si="5"/>
        <v>-4.7500338350551163E-4</v>
      </c>
      <c r="H81">
        <f t="shared" si="6"/>
        <v>-2.7970544948382648E-3</v>
      </c>
      <c r="I81">
        <f t="shared" si="7"/>
        <v>-6.4682878033090851E-4</v>
      </c>
    </row>
    <row r="82" spans="1:9" x14ac:dyDescent="0.2">
      <c r="A82" s="2">
        <v>45588</v>
      </c>
      <c r="B82" s="1">
        <v>230.76</v>
      </c>
      <c r="C82">
        <f t="shared" si="4"/>
        <v>-2.1860199273135369E-2</v>
      </c>
      <c r="D82" s="2">
        <v>45588</v>
      </c>
      <c r="E82" s="3">
        <v>5797.42</v>
      </c>
      <c r="F82">
        <f t="shared" si="5"/>
        <v>-9.2337774119530536E-3</v>
      </c>
      <c r="H82">
        <f t="shared" si="6"/>
        <v>-2.2032024669960765E-2</v>
      </c>
      <c r="I82">
        <f t="shared" si="7"/>
        <v>-9.4056028087784512E-3</v>
      </c>
    </row>
    <row r="83" spans="1:9" x14ac:dyDescent="0.2">
      <c r="A83" s="2">
        <v>45589</v>
      </c>
      <c r="B83" s="1">
        <v>230.57</v>
      </c>
      <c r="C83">
        <f t="shared" si="4"/>
        <v>-8.2370542016678883E-4</v>
      </c>
      <c r="D83" s="2">
        <v>45589</v>
      </c>
      <c r="E83" s="3">
        <v>5809.86</v>
      </c>
      <c r="F83">
        <f t="shared" si="5"/>
        <v>2.1434831869283494E-3</v>
      </c>
      <c r="H83">
        <f t="shared" si="6"/>
        <v>-9.9553081699218561E-4</v>
      </c>
      <c r="I83">
        <f t="shared" si="7"/>
        <v>1.9716577901029526E-3</v>
      </c>
    </row>
    <row r="84" spans="1:9" x14ac:dyDescent="0.2">
      <c r="A84" s="2">
        <v>45590</v>
      </c>
      <c r="B84" s="1">
        <v>231.41</v>
      </c>
      <c r="C84">
        <f t="shared" si="4"/>
        <v>3.6365250690583951E-3</v>
      </c>
      <c r="D84" s="2">
        <v>45590</v>
      </c>
      <c r="E84" s="3">
        <v>5808.12</v>
      </c>
      <c r="F84">
        <f t="shared" si="5"/>
        <v>-2.9953572187414154E-4</v>
      </c>
      <c r="H84">
        <f t="shared" si="6"/>
        <v>3.4646996722329983E-3</v>
      </c>
      <c r="I84">
        <f t="shared" si="7"/>
        <v>-4.7136111869953837E-4</v>
      </c>
    </row>
    <row r="85" spans="1:9" x14ac:dyDescent="0.2">
      <c r="A85" s="2">
        <v>45593</v>
      </c>
      <c r="B85" s="1">
        <v>233.4</v>
      </c>
      <c r="C85">
        <f t="shared" si="4"/>
        <v>8.5626908148752033E-3</v>
      </c>
      <c r="D85" s="2">
        <v>45593</v>
      </c>
      <c r="E85" s="3">
        <v>5823.52</v>
      </c>
      <c r="F85">
        <f t="shared" si="5"/>
        <v>2.6479514493707988E-3</v>
      </c>
      <c r="H85">
        <f t="shared" si="6"/>
        <v>8.3908654180498057E-3</v>
      </c>
      <c r="I85">
        <f t="shared" si="7"/>
        <v>2.476126052545402E-3</v>
      </c>
    </row>
    <row r="86" spans="1:9" x14ac:dyDescent="0.2">
      <c r="A86" s="2">
        <v>45594</v>
      </c>
      <c r="B86" s="1">
        <v>233.67</v>
      </c>
      <c r="C86">
        <f t="shared" si="4"/>
        <v>1.1561437475111353E-3</v>
      </c>
      <c r="D86" s="2">
        <v>45594</v>
      </c>
      <c r="E86" s="3">
        <v>5832.92</v>
      </c>
      <c r="F86">
        <f t="shared" si="5"/>
        <v>1.6128426925638532E-3</v>
      </c>
      <c r="H86">
        <f t="shared" si="6"/>
        <v>9.8431835068573856E-4</v>
      </c>
      <c r="I86">
        <f t="shared" si="7"/>
        <v>1.4410172957384565E-3</v>
      </c>
    </row>
    <row r="87" spans="1:9" x14ac:dyDescent="0.2">
      <c r="A87" s="2">
        <v>45595</v>
      </c>
      <c r="B87" s="1">
        <v>230.1</v>
      </c>
      <c r="C87">
        <f t="shared" si="4"/>
        <v>-1.5395866558646653E-2</v>
      </c>
      <c r="D87" s="2">
        <v>45595</v>
      </c>
      <c r="E87" s="3">
        <v>5813.67</v>
      </c>
      <c r="F87">
        <f t="shared" si="5"/>
        <v>-3.3056916281390038E-3</v>
      </c>
      <c r="H87">
        <f t="shared" si="6"/>
        <v>-1.556769195547205E-2</v>
      </c>
      <c r="I87">
        <f t="shared" si="7"/>
        <v>-3.4775170249644006E-3</v>
      </c>
    </row>
    <row r="88" spans="1:9" x14ac:dyDescent="0.2">
      <c r="A88" s="2">
        <v>45596</v>
      </c>
      <c r="B88" s="1">
        <v>225.91</v>
      </c>
      <c r="C88">
        <f t="shared" si="4"/>
        <v>-1.8377307172189244E-2</v>
      </c>
      <c r="D88" s="2">
        <v>45596</v>
      </c>
      <c r="E88" s="3">
        <v>5705.45</v>
      </c>
      <c r="F88">
        <f t="shared" si="5"/>
        <v>-1.8790182599519829E-2</v>
      </c>
      <c r="H88">
        <f t="shared" si="6"/>
        <v>-1.854913256901464E-2</v>
      </c>
      <c r="I88">
        <f t="shared" si="7"/>
        <v>-1.8962007996345225E-2</v>
      </c>
    </row>
    <row r="89" spans="1:9" x14ac:dyDescent="0.2">
      <c r="A89" s="2">
        <v>45597</v>
      </c>
      <c r="B89" s="1">
        <v>222.91</v>
      </c>
      <c r="C89">
        <f t="shared" si="4"/>
        <v>-1.3368587316289905E-2</v>
      </c>
      <c r="D89" s="2">
        <v>45597</v>
      </c>
      <c r="E89" s="3">
        <v>5728.8</v>
      </c>
      <c r="F89">
        <f t="shared" si="5"/>
        <v>4.0842263302362366E-3</v>
      </c>
      <c r="H89">
        <f t="shared" si="6"/>
        <v>-1.3540412713115303E-2</v>
      </c>
      <c r="I89">
        <f t="shared" si="7"/>
        <v>3.9124009334108398E-3</v>
      </c>
    </row>
    <row r="90" spans="1:9" x14ac:dyDescent="0.2">
      <c r="A90" s="2">
        <v>45600</v>
      </c>
      <c r="B90" s="1">
        <v>222.01</v>
      </c>
      <c r="C90">
        <f t="shared" si="4"/>
        <v>-4.0456766500141109E-3</v>
      </c>
      <c r="D90" s="2">
        <v>45600</v>
      </c>
      <c r="E90" s="3">
        <v>5712.69</v>
      </c>
      <c r="F90">
        <f t="shared" si="5"/>
        <v>-2.8160686495115016E-3</v>
      </c>
      <c r="H90">
        <f t="shared" si="6"/>
        <v>-4.2175020468395077E-3</v>
      </c>
      <c r="I90">
        <f t="shared" si="7"/>
        <v>-2.9878940463368983E-3</v>
      </c>
    </row>
    <row r="91" spans="1:9" x14ac:dyDescent="0.2">
      <c r="A91" s="2">
        <v>45601</v>
      </c>
      <c r="B91" s="1">
        <v>223.45</v>
      </c>
      <c r="C91">
        <f t="shared" si="4"/>
        <v>6.4652494766336294E-3</v>
      </c>
      <c r="D91" s="2">
        <v>45601</v>
      </c>
      <c r="E91" s="3">
        <v>5782.76</v>
      </c>
      <c r="F91">
        <f t="shared" si="5"/>
        <v>1.219106130274809E-2</v>
      </c>
      <c r="H91">
        <f t="shared" si="6"/>
        <v>6.2934240798082327E-3</v>
      </c>
      <c r="I91">
        <f t="shared" si="7"/>
        <v>1.2019235905922692E-2</v>
      </c>
    </row>
    <row r="92" spans="1:9" x14ac:dyDescent="0.2">
      <c r="A92" s="2">
        <v>45602</v>
      </c>
      <c r="B92" s="1">
        <v>222.72</v>
      </c>
      <c r="C92">
        <f t="shared" si="4"/>
        <v>-3.2722982334056835E-3</v>
      </c>
      <c r="D92" s="2">
        <v>45602</v>
      </c>
      <c r="E92" s="3">
        <v>5929.04</v>
      </c>
      <c r="F92">
        <f t="shared" si="5"/>
        <v>2.4981233838896531E-2</v>
      </c>
      <c r="H92">
        <f t="shared" si="6"/>
        <v>-3.4441236302310803E-3</v>
      </c>
      <c r="I92">
        <f t="shared" si="7"/>
        <v>2.4809408442071135E-2</v>
      </c>
    </row>
    <row r="93" spans="1:9" x14ac:dyDescent="0.2">
      <c r="A93" s="2">
        <v>45603</v>
      </c>
      <c r="B93" s="1">
        <v>227.48</v>
      </c>
      <c r="C93">
        <f t="shared" si="4"/>
        <v>2.1146945292544149E-2</v>
      </c>
      <c r="D93" s="2">
        <v>45603</v>
      </c>
      <c r="E93" s="3">
        <v>5973.1</v>
      </c>
      <c r="F93">
        <f t="shared" si="5"/>
        <v>7.4037444129894632E-3</v>
      </c>
      <c r="H93">
        <f t="shared" si="6"/>
        <v>2.0975119895718753E-2</v>
      </c>
      <c r="I93">
        <f t="shared" si="7"/>
        <v>7.2319190161640665E-3</v>
      </c>
    </row>
    <row r="94" spans="1:9" x14ac:dyDescent="0.2">
      <c r="A94" s="2">
        <v>45604</v>
      </c>
      <c r="B94" s="1">
        <v>226.96</v>
      </c>
      <c r="C94">
        <f t="shared" si="4"/>
        <v>-2.2885319380029265E-3</v>
      </c>
      <c r="D94" s="2">
        <v>45604</v>
      </c>
      <c r="E94" s="3">
        <v>5995.54</v>
      </c>
      <c r="F94">
        <f t="shared" si="5"/>
        <v>3.7498038697994338E-3</v>
      </c>
      <c r="H94">
        <f t="shared" si="6"/>
        <v>-2.4603573348283233E-3</v>
      </c>
      <c r="I94">
        <f t="shared" si="7"/>
        <v>3.577978472974037E-3</v>
      </c>
    </row>
    <row r="95" spans="1:9" x14ac:dyDescent="0.2">
      <c r="A95" s="2">
        <v>45607</v>
      </c>
      <c r="B95" s="1">
        <v>224.23</v>
      </c>
      <c r="C95">
        <f t="shared" si="4"/>
        <v>-1.2101479715156712E-2</v>
      </c>
      <c r="D95" s="2">
        <v>45607</v>
      </c>
      <c r="E95" s="3">
        <v>6001.35</v>
      </c>
      <c r="F95">
        <f t="shared" si="5"/>
        <v>9.6858443383637458E-4</v>
      </c>
      <c r="H95">
        <f t="shared" si="6"/>
        <v>-1.2273305111982109E-2</v>
      </c>
      <c r="I95">
        <f t="shared" si="7"/>
        <v>7.967590370109778E-4</v>
      </c>
    </row>
    <row r="96" spans="1:9" x14ac:dyDescent="0.2">
      <c r="A96" s="2">
        <v>45608</v>
      </c>
      <c r="B96" s="1">
        <v>224.23</v>
      </c>
      <c r="C96">
        <f t="shared" si="4"/>
        <v>0</v>
      </c>
      <c r="D96" s="2">
        <v>45608</v>
      </c>
      <c r="E96" s="3">
        <v>5983.99</v>
      </c>
      <c r="F96">
        <f t="shared" si="5"/>
        <v>-2.8968743715661891E-3</v>
      </c>
      <c r="H96">
        <f t="shared" si="6"/>
        <v>-1.7182539682539683E-4</v>
      </c>
      <c r="I96">
        <f t="shared" si="7"/>
        <v>-3.0686997683915859E-3</v>
      </c>
    </row>
    <row r="97" spans="1:9" x14ac:dyDescent="0.2">
      <c r="A97" s="2">
        <v>45609</v>
      </c>
      <c r="B97" s="1">
        <v>225.12</v>
      </c>
      <c r="C97">
        <f t="shared" si="4"/>
        <v>3.9612825806397481E-3</v>
      </c>
      <c r="D97" s="2">
        <v>45609</v>
      </c>
      <c r="E97" s="3">
        <v>5985.38</v>
      </c>
      <c r="F97">
        <f t="shared" si="5"/>
        <v>2.322595101076364E-4</v>
      </c>
      <c r="H97">
        <f t="shared" si="6"/>
        <v>3.7894571838143513E-3</v>
      </c>
      <c r="I97">
        <f t="shared" si="7"/>
        <v>6.0434113282239571E-5</v>
      </c>
    </row>
    <row r="98" spans="1:9" x14ac:dyDescent="0.2">
      <c r="A98" s="2">
        <v>45610</v>
      </c>
      <c r="B98" s="1">
        <v>228.22</v>
      </c>
      <c r="C98">
        <f t="shared" si="4"/>
        <v>1.3676482640454679E-2</v>
      </c>
      <c r="D98" s="2">
        <v>45610</v>
      </c>
      <c r="E98" s="3">
        <v>5949.17</v>
      </c>
      <c r="F98">
        <f t="shared" si="5"/>
        <v>-6.0681150291174617E-3</v>
      </c>
      <c r="H98">
        <f t="shared" si="6"/>
        <v>1.3504657243629281E-2</v>
      </c>
      <c r="I98">
        <f t="shared" si="7"/>
        <v>-6.2399404259428585E-3</v>
      </c>
    </row>
    <row r="99" spans="1:9" x14ac:dyDescent="0.2">
      <c r="A99" s="2">
        <v>45611</v>
      </c>
      <c r="B99" s="1">
        <v>225</v>
      </c>
      <c r="C99">
        <f t="shared" si="4"/>
        <v>-1.4209673802113448E-2</v>
      </c>
      <c r="D99" s="2">
        <v>45611</v>
      </c>
      <c r="E99" s="3">
        <v>5870.62</v>
      </c>
      <c r="F99">
        <f t="shared" si="5"/>
        <v>-1.3291463960568205E-2</v>
      </c>
      <c r="H99">
        <f t="shared" si="6"/>
        <v>-1.4381499198938845E-2</v>
      </c>
      <c r="I99">
        <f t="shared" si="7"/>
        <v>-1.3463289357393602E-2</v>
      </c>
    </row>
    <row r="100" spans="1:9" x14ac:dyDescent="0.2">
      <c r="A100" s="2">
        <v>45614</v>
      </c>
      <c r="B100" s="1">
        <v>228.02</v>
      </c>
      <c r="C100">
        <f t="shared" si="4"/>
        <v>1.3332942201153587E-2</v>
      </c>
      <c r="D100" s="2">
        <v>45614</v>
      </c>
      <c r="E100" s="3">
        <v>5893.62</v>
      </c>
      <c r="F100">
        <f t="shared" si="5"/>
        <v>3.9101598241076656E-3</v>
      </c>
      <c r="H100">
        <f t="shared" si="6"/>
        <v>1.316111680432819E-2</v>
      </c>
      <c r="I100">
        <f t="shared" si="7"/>
        <v>3.7383344272822689E-3</v>
      </c>
    </row>
    <row r="101" spans="1:9" x14ac:dyDescent="0.2">
      <c r="A101" s="2">
        <v>45615</v>
      </c>
      <c r="B101" s="1">
        <v>228.28</v>
      </c>
      <c r="C101">
        <f t="shared" si="4"/>
        <v>1.1396012629335743E-3</v>
      </c>
      <c r="D101" s="2">
        <v>45615</v>
      </c>
      <c r="E101" s="3">
        <v>5916.98</v>
      </c>
      <c r="F101">
        <f t="shared" si="5"/>
        <v>3.9557737052673715E-3</v>
      </c>
      <c r="H101">
        <f t="shared" si="6"/>
        <v>9.6777586610817751E-4</v>
      </c>
      <c r="I101">
        <f t="shared" si="7"/>
        <v>3.7839483084419747E-3</v>
      </c>
    </row>
    <row r="102" spans="1:9" x14ac:dyDescent="0.2">
      <c r="A102" s="2">
        <v>45616</v>
      </c>
      <c r="B102" s="1">
        <v>229</v>
      </c>
      <c r="C102">
        <f t="shared" si="4"/>
        <v>3.1490578857323766E-3</v>
      </c>
      <c r="D102" s="2">
        <v>45616</v>
      </c>
      <c r="E102" s="3">
        <v>5917.11</v>
      </c>
      <c r="F102">
        <f t="shared" si="5"/>
        <v>2.1970426117316337E-5</v>
      </c>
      <c r="H102">
        <f t="shared" si="6"/>
        <v>2.9772324889069798E-3</v>
      </c>
      <c r="I102">
        <f t="shared" si="7"/>
        <v>-1.498549707080805E-4</v>
      </c>
    </row>
    <row r="103" spans="1:9" x14ac:dyDescent="0.2">
      <c r="A103" s="2">
        <v>45617</v>
      </c>
      <c r="B103" s="1">
        <v>228.52</v>
      </c>
      <c r="C103">
        <f t="shared" si="4"/>
        <v>-2.0982696979778065E-3</v>
      </c>
      <c r="D103" s="2">
        <v>45617</v>
      </c>
      <c r="E103" s="3">
        <v>5948.71</v>
      </c>
      <c r="F103">
        <f t="shared" si="5"/>
        <v>5.3262353051749837E-3</v>
      </c>
      <c r="H103">
        <f t="shared" si="6"/>
        <v>-2.2700950948032032E-3</v>
      </c>
      <c r="I103">
        <f t="shared" si="7"/>
        <v>5.1544099083495869E-3</v>
      </c>
    </row>
    <row r="104" spans="1:9" x14ac:dyDescent="0.2">
      <c r="A104" s="2">
        <v>45618</v>
      </c>
      <c r="B104" s="1">
        <v>229.87</v>
      </c>
      <c r="C104">
        <f t="shared" si="4"/>
        <v>5.890197880063815E-3</v>
      </c>
      <c r="D104" s="2">
        <v>45618</v>
      </c>
      <c r="E104" s="3">
        <v>5969.34</v>
      </c>
      <c r="F104">
        <f t="shared" si="5"/>
        <v>3.4619792004100735E-3</v>
      </c>
      <c r="H104">
        <f t="shared" si="6"/>
        <v>5.7183724832384182E-3</v>
      </c>
      <c r="I104">
        <f t="shared" si="7"/>
        <v>3.2901538035846768E-3</v>
      </c>
    </row>
    <row r="105" spans="1:9" x14ac:dyDescent="0.2">
      <c r="A105" s="2">
        <v>45621</v>
      </c>
      <c r="B105" s="1">
        <v>232.87</v>
      </c>
      <c r="C105">
        <f t="shared" si="4"/>
        <v>1.2966426208818584E-2</v>
      </c>
      <c r="D105" s="2">
        <v>45621</v>
      </c>
      <c r="E105" s="3">
        <v>5987.37</v>
      </c>
      <c r="F105">
        <f t="shared" si="5"/>
        <v>3.015882072251307E-3</v>
      </c>
      <c r="H105">
        <f t="shared" si="6"/>
        <v>1.2794600811993186E-2</v>
      </c>
      <c r="I105">
        <f t="shared" si="7"/>
        <v>2.8440566754259103E-3</v>
      </c>
    </row>
    <row r="106" spans="1:9" x14ac:dyDescent="0.2">
      <c r="A106" s="2">
        <v>45622</v>
      </c>
      <c r="B106" s="1">
        <v>235.06</v>
      </c>
      <c r="C106">
        <f t="shared" si="4"/>
        <v>9.3604427595636724E-3</v>
      </c>
      <c r="D106" s="2">
        <v>45622</v>
      </c>
      <c r="E106" s="3">
        <v>6021.63</v>
      </c>
      <c r="F106">
        <f t="shared" si="5"/>
        <v>5.7057361888066833E-3</v>
      </c>
      <c r="H106">
        <f t="shared" si="6"/>
        <v>9.1886173627382748E-3</v>
      </c>
      <c r="I106">
        <f t="shared" si="7"/>
        <v>5.5339107919812865E-3</v>
      </c>
    </row>
    <row r="107" spans="1:9" x14ac:dyDescent="0.2">
      <c r="A107" s="2">
        <v>45623</v>
      </c>
      <c r="B107" s="1">
        <v>234.93</v>
      </c>
      <c r="C107">
        <f t="shared" si="4"/>
        <v>-5.5320327375206512E-4</v>
      </c>
      <c r="D107" s="2">
        <v>45623</v>
      </c>
      <c r="E107" s="3">
        <v>5998.74</v>
      </c>
      <c r="F107">
        <f t="shared" si="5"/>
        <v>-3.8085396153748753E-3</v>
      </c>
      <c r="H107">
        <f t="shared" si="6"/>
        <v>-7.2502867057746201E-4</v>
      </c>
      <c r="I107">
        <f t="shared" si="7"/>
        <v>-3.9803650122002725E-3</v>
      </c>
    </row>
    <row r="108" spans="1:9" x14ac:dyDescent="0.2">
      <c r="A108" s="2">
        <v>45625</v>
      </c>
      <c r="B108" s="1">
        <v>237.33</v>
      </c>
      <c r="C108">
        <f t="shared" si="4"/>
        <v>1.0163980270458799E-2</v>
      </c>
      <c r="D108" s="2">
        <v>45625</v>
      </c>
      <c r="E108" s="3">
        <v>6032.38</v>
      </c>
      <c r="F108">
        <f t="shared" si="5"/>
        <v>5.5921788939180331E-3</v>
      </c>
      <c r="H108">
        <f t="shared" si="6"/>
        <v>9.9921548736334014E-3</v>
      </c>
      <c r="I108">
        <f t="shared" si="7"/>
        <v>5.4203534970926363E-3</v>
      </c>
    </row>
    <row r="109" spans="1:9" x14ac:dyDescent="0.2">
      <c r="A109" s="2">
        <v>45628</v>
      </c>
      <c r="B109" s="1">
        <v>239.59</v>
      </c>
      <c r="C109">
        <f t="shared" si="4"/>
        <v>9.477551441854002E-3</v>
      </c>
      <c r="D109" s="2">
        <v>45628</v>
      </c>
      <c r="E109" s="3">
        <v>6047.15</v>
      </c>
      <c r="F109">
        <f t="shared" si="5"/>
        <v>2.4454606033056034E-3</v>
      </c>
      <c r="H109">
        <f t="shared" si="6"/>
        <v>9.3057260450286044E-3</v>
      </c>
      <c r="I109">
        <f t="shared" si="7"/>
        <v>2.2736352064802066E-3</v>
      </c>
    </row>
    <row r="110" spans="1:9" x14ac:dyDescent="0.2">
      <c r="A110" s="2">
        <v>45629</v>
      </c>
      <c r="B110" s="1">
        <v>242.65</v>
      </c>
      <c r="C110">
        <f t="shared" si="4"/>
        <v>1.269094670795666E-2</v>
      </c>
      <c r="D110" s="2">
        <v>45629</v>
      </c>
      <c r="E110" s="3">
        <v>6049.88</v>
      </c>
      <c r="F110">
        <f t="shared" si="5"/>
        <v>4.5135046310470323E-4</v>
      </c>
      <c r="H110">
        <f t="shared" si="6"/>
        <v>1.2519121311131262E-2</v>
      </c>
      <c r="I110">
        <f t="shared" si="7"/>
        <v>2.795250662793064E-4</v>
      </c>
    </row>
    <row r="111" spans="1:9" x14ac:dyDescent="0.2">
      <c r="A111" s="2">
        <v>45630</v>
      </c>
      <c r="B111" s="1">
        <v>243.01</v>
      </c>
      <c r="C111">
        <f t="shared" si="4"/>
        <v>1.4825189059665656E-3</v>
      </c>
      <c r="D111" s="2">
        <v>45630</v>
      </c>
      <c r="E111" s="3">
        <v>6086.49</v>
      </c>
      <c r="F111">
        <f t="shared" si="5"/>
        <v>6.0331237505021089E-3</v>
      </c>
      <c r="H111">
        <f t="shared" si="6"/>
        <v>1.3106935091411688E-3</v>
      </c>
      <c r="I111">
        <f t="shared" si="7"/>
        <v>5.8612983536767121E-3</v>
      </c>
    </row>
    <row r="112" spans="1:9" x14ac:dyDescent="0.2">
      <c r="A112" s="2">
        <v>45631</v>
      </c>
      <c r="B112" s="1">
        <v>243.04</v>
      </c>
      <c r="C112">
        <f t="shared" si="4"/>
        <v>1.2344409027086238E-4</v>
      </c>
      <c r="D112" s="2">
        <v>45631</v>
      </c>
      <c r="E112" s="3">
        <v>6075.11</v>
      </c>
      <c r="F112">
        <f t="shared" si="5"/>
        <v>-1.8714648272306858E-3</v>
      </c>
      <c r="H112">
        <f t="shared" si="6"/>
        <v>-4.8381306554534453E-5</v>
      </c>
      <c r="I112">
        <f t="shared" si="7"/>
        <v>-2.0432902240560828E-3</v>
      </c>
    </row>
    <row r="113" spans="1:9" x14ac:dyDescent="0.2">
      <c r="A113" s="2">
        <v>45632</v>
      </c>
      <c r="B113" s="1">
        <v>242.84</v>
      </c>
      <c r="C113">
        <f t="shared" si="4"/>
        <v>-8.2324858522934052E-4</v>
      </c>
      <c r="D113" s="2">
        <v>45632</v>
      </c>
      <c r="E113" s="3">
        <v>6090.27</v>
      </c>
      <c r="F113">
        <f t="shared" si="5"/>
        <v>2.4923196558419955E-3</v>
      </c>
      <c r="H113">
        <f t="shared" si="6"/>
        <v>-9.9507398205473741E-4</v>
      </c>
      <c r="I113">
        <f t="shared" si="7"/>
        <v>2.3204942590165987E-3</v>
      </c>
    </row>
    <row r="114" spans="1:9" x14ac:dyDescent="0.2">
      <c r="A114" s="2">
        <v>45635</v>
      </c>
      <c r="B114" s="1">
        <v>246.75</v>
      </c>
      <c r="C114">
        <f t="shared" si="4"/>
        <v>1.5972888051357558E-2</v>
      </c>
      <c r="D114" s="2">
        <v>45635</v>
      </c>
      <c r="E114" s="3">
        <v>6052.85</v>
      </c>
      <c r="F114">
        <f t="shared" si="5"/>
        <v>-6.1631802121963038E-3</v>
      </c>
      <c r="H114">
        <f t="shared" si="6"/>
        <v>1.5801062654532162E-2</v>
      </c>
      <c r="I114">
        <f t="shared" si="7"/>
        <v>-6.3350056090217006E-3</v>
      </c>
    </row>
    <row r="115" spans="1:9" x14ac:dyDescent="0.2">
      <c r="A115" s="2">
        <v>45636</v>
      </c>
      <c r="B115" s="1">
        <v>247.77</v>
      </c>
      <c r="C115">
        <f t="shared" si="4"/>
        <v>4.1252181771443009E-3</v>
      </c>
      <c r="D115" s="2">
        <v>45636</v>
      </c>
      <c r="E115" s="3">
        <v>6034.91</v>
      </c>
      <c r="F115">
        <f t="shared" si="5"/>
        <v>-2.9682940713745675E-3</v>
      </c>
      <c r="H115">
        <f t="shared" si="6"/>
        <v>3.9533927803189041E-3</v>
      </c>
      <c r="I115">
        <f t="shared" si="7"/>
        <v>-3.1401194681999643E-3</v>
      </c>
    </row>
    <row r="116" spans="1:9" x14ac:dyDescent="0.2">
      <c r="A116" s="2">
        <v>45637</v>
      </c>
      <c r="B116" s="1">
        <v>246.49</v>
      </c>
      <c r="C116">
        <f t="shared" si="4"/>
        <v>-5.1794717822105452E-3</v>
      </c>
      <c r="D116" s="2">
        <v>45637</v>
      </c>
      <c r="E116" s="3">
        <v>6084.19</v>
      </c>
      <c r="F116">
        <f t="shared" si="5"/>
        <v>8.1326619328850828E-3</v>
      </c>
      <c r="H116">
        <f t="shared" si="6"/>
        <v>-5.351297179035942E-3</v>
      </c>
      <c r="I116">
        <f t="shared" si="7"/>
        <v>7.9608365360596851E-3</v>
      </c>
    </row>
    <row r="117" spans="1:9" x14ac:dyDescent="0.2">
      <c r="A117" s="2">
        <v>45638</v>
      </c>
      <c r="B117" s="1">
        <v>247.96</v>
      </c>
      <c r="C117">
        <f t="shared" si="4"/>
        <v>5.9460181251939897E-3</v>
      </c>
      <c r="D117" s="2">
        <v>45638</v>
      </c>
      <c r="E117" s="3">
        <v>6051.25</v>
      </c>
      <c r="F117">
        <f t="shared" si="5"/>
        <v>-5.4287410919564485E-3</v>
      </c>
      <c r="H117">
        <f t="shared" si="6"/>
        <v>5.7741927283685929E-3</v>
      </c>
      <c r="I117">
        <f t="shared" si="7"/>
        <v>-5.6005664887818453E-3</v>
      </c>
    </row>
    <row r="118" spans="1:9" x14ac:dyDescent="0.2">
      <c r="A118" s="2">
        <v>45639</v>
      </c>
      <c r="B118" s="1">
        <v>248.13</v>
      </c>
      <c r="C118">
        <f t="shared" si="4"/>
        <v>6.8535953820605803E-4</v>
      </c>
      <c r="D118" s="2">
        <v>45639</v>
      </c>
      <c r="E118" s="3">
        <v>6051.09</v>
      </c>
      <c r="F118">
        <f t="shared" si="5"/>
        <v>-2.6441167577320025E-5</v>
      </c>
      <c r="H118">
        <f t="shared" si="6"/>
        <v>5.1353414138066125E-4</v>
      </c>
      <c r="I118">
        <f t="shared" si="7"/>
        <v>-1.9826656440271687E-4</v>
      </c>
    </row>
    <row r="119" spans="1:9" x14ac:dyDescent="0.2">
      <c r="A119" s="2">
        <v>45642</v>
      </c>
      <c r="B119" s="1">
        <v>251.04</v>
      </c>
      <c r="C119">
        <f t="shared" si="4"/>
        <v>1.1659486612797755E-2</v>
      </c>
      <c r="D119" s="2">
        <v>45642</v>
      </c>
      <c r="E119" s="3">
        <v>6074.08</v>
      </c>
      <c r="F119">
        <f t="shared" si="5"/>
        <v>3.7921163249597686E-3</v>
      </c>
      <c r="H119">
        <f t="shared" si="6"/>
        <v>1.1487661215972358E-2</v>
      </c>
      <c r="I119">
        <f t="shared" si="7"/>
        <v>3.6202909281343718E-3</v>
      </c>
    </row>
    <row r="120" spans="1:9" x14ac:dyDescent="0.2">
      <c r="A120" s="2">
        <v>45643</v>
      </c>
      <c r="B120" s="1">
        <v>253.48</v>
      </c>
      <c r="C120">
        <f t="shared" si="4"/>
        <v>9.6726354705936723E-3</v>
      </c>
      <c r="D120" s="2">
        <v>45643</v>
      </c>
      <c r="E120" s="3">
        <v>6050.61</v>
      </c>
      <c r="F120">
        <f t="shared" si="5"/>
        <v>-3.8714440227630084E-3</v>
      </c>
      <c r="H120">
        <f t="shared" si="6"/>
        <v>9.5008100737682746E-3</v>
      </c>
      <c r="I120">
        <f t="shared" si="7"/>
        <v>-4.0432694195884052E-3</v>
      </c>
    </row>
    <row r="121" spans="1:9" x14ac:dyDescent="0.2">
      <c r="A121" s="2">
        <v>45644</v>
      </c>
      <c r="B121" s="1">
        <v>248.05</v>
      </c>
      <c r="C121">
        <f t="shared" si="4"/>
        <v>-2.1654585708258262E-2</v>
      </c>
      <c r="D121" s="2">
        <v>45644</v>
      </c>
      <c r="E121" s="3">
        <v>5872.16</v>
      </c>
      <c r="F121">
        <f t="shared" si="5"/>
        <v>-2.9936554508987644E-2</v>
      </c>
      <c r="H121">
        <f t="shared" si="6"/>
        <v>-2.1826411105083657E-2</v>
      </c>
      <c r="I121">
        <f t="shared" si="7"/>
        <v>-3.010837990581304E-2</v>
      </c>
    </row>
    <row r="122" spans="1:9" x14ac:dyDescent="0.2">
      <c r="A122" s="2">
        <v>45645</v>
      </c>
      <c r="B122" s="1">
        <v>249.79</v>
      </c>
      <c r="C122">
        <f t="shared" si="4"/>
        <v>6.9902261174959015E-3</v>
      </c>
      <c r="D122" s="2">
        <v>45645</v>
      </c>
      <c r="E122" s="3">
        <v>5867.08</v>
      </c>
      <c r="F122">
        <f t="shared" si="5"/>
        <v>-8.6547345775283581E-4</v>
      </c>
      <c r="H122">
        <f t="shared" si="6"/>
        <v>6.8184007206705047E-3</v>
      </c>
      <c r="I122">
        <f t="shared" si="7"/>
        <v>-1.0372988545782327E-3</v>
      </c>
    </row>
    <row r="123" spans="1:9" x14ac:dyDescent="0.2">
      <c r="A123" s="2">
        <v>45646</v>
      </c>
      <c r="B123" s="1">
        <v>254.49</v>
      </c>
      <c r="C123">
        <f t="shared" si="4"/>
        <v>1.8640977623199214E-2</v>
      </c>
      <c r="D123" s="2">
        <v>45646</v>
      </c>
      <c r="E123" s="3">
        <v>5930.85</v>
      </c>
      <c r="F123">
        <f t="shared" si="5"/>
        <v>1.0810476252410672E-2</v>
      </c>
      <c r="H123">
        <f t="shared" si="6"/>
        <v>1.8469152226373818E-2</v>
      </c>
      <c r="I123">
        <f t="shared" si="7"/>
        <v>1.0638650855585274E-2</v>
      </c>
    </row>
    <row r="124" spans="1:9" x14ac:dyDescent="0.2">
      <c r="A124" s="2">
        <v>45649</v>
      </c>
      <c r="B124" s="1">
        <v>255.27</v>
      </c>
      <c r="C124">
        <f t="shared" si="4"/>
        <v>3.0602660418225774E-3</v>
      </c>
      <c r="D124" s="2">
        <v>45649</v>
      </c>
      <c r="E124" s="3">
        <v>5974.07</v>
      </c>
      <c r="F124">
        <f t="shared" si="5"/>
        <v>7.2608954754625398E-3</v>
      </c>
      <c r="H124">
        <f t="shared" si="6"/>
        <v>2.8884406449971806E-3</v>
      </c>
      <c r="I124">
        <f t="shared" si="7"/>
        <v>7.0890700786371431E-3</v>
      </c>
    </row>
    <row r="125" spans="1:9" x14ac:dyDescent="0.2">
      <c r="A125" s="2">
        <v>45650</v>
      </c>
      <c r="B125" s="1">
        <v>258.2</v>
      </c>
      <c r="C125">
        <f t="shared" si="4"/>
        <v>1.1412669882966294E-2</v>
      </c>
      <c r="D125" s="2">
        <v>45650</v>
      </c>
      <c r="E125" s="3">
        <v>6040.04</v>
      </c>
      <c r="F125">
        <f t="shared" si="5"/>
        <v>1.0982197273831982E-2</v>
      </c>
      <c r="H125">
        <f t="shared" si="6"/>
        <v>1.1240844486140896E-2</v>
      </c>
      <c r="I125">
        <f t="shared" si="7"/>
        <v>1.0810371877006585E-2</v>
      </c>
    </row>
    <row r="126" spans="1:9" x14ac:dyDescent="0.2">
      <c r="A126" s="2">
        <v>45652</v>
      </c>
      <c r="B126" s="1">
        <v>259.02</v>
      </c>
      <c r="C126">
        <f t="shared" si="4"/>
        <v>3.1708003828989626E-3</v>
      </c>
      <c r="D126" s="2">
        <v>45652</v>
      </c>
      <c r="E126" s="3">
        <v>6037.59</v>
      </c>
      <c r="F126">
        <f t="shared" si="5"/>
        <v>-4.0570874146761795E-4</v>
      </c>
      <c r="H126">
        <f t="shared" si="6"/>
        <v>2.9989749860735659E-3</v>
      </c>
      <c r="I126">
        <f t="shared" si="7"/>
        <v>-5.7753413829301483E-4</v>
      </c>
    </row>
    <row r="127" spans="1:9" x14ac:dyDescent="0.2">
      <c r="A127" s="2">
        <v>45653</v>
      </c>
      <c r="B127" s="1">
        <v>255.59</v>
      </c>
      <c r="C127">
        <f t="shared" si="4"/>
        <v>-1.3330680688083499E-2</v>
      </c>
      <c r="D127" s="2">
        <v>45653</v>
      </c>
      <c r="E127" s="3">
        <v>5970.84</v>
      </c>
      <c r="F127">
        <f t="shared" si="5"/>
        <v>-1.111730467559637E-2</v>
      </c>
      <c r="H127">
        <f t="shared" si="6"/>
        <v>-1.3502506084908897E-2</v>
      </c>
      <c r="I127">
        <f t="shared" si="7"/>
        <v>-1.1289130072421768E-2</v>
      </c>
    </row>
    <row r="128" spans="1:9" x14ac:dyDescent="0.2">
      <c r="A128" s="2">
        <v>45656</v>
      </c>
      <c r="B128" s="1">
        <v>252.2</v>
      </c>
      <c r="C128">
        <f t="shared" si="4"/>
        <v>-1.3352174576538492E-2</v>
      </c>
      <c r="D128" s="2">
        <v>45656</v>
      </c>
      <c r="E128" s="3">
        <v>5906.94</v>
      </c>
      <c r="F128">
        <f t="shared" si="5"/>
        <v>-1.0759690191101295E-2</v>
      </c>
      <c r="H128">
        <f t="shared" si="6"/>
        <v>-1.352399997336389E-2</v>
      </c>
      <c r="I128">
        <f t="shared" si="7"/>
        <v>-1.0931515587926693E-2</v>
      </c>
    </row>
    <row r="129" spans="1:9" x14ac:dyDescent="0.2">
      <c r="A129" s="2">
        <v>45657</v>
      </c>
      <c r="B129" s="1">
        <v>250.42</v>
      </c>
      <c r="C129">
        <f t="shared" si="4"/>
        <v>-7.0829152900175382E-3</v>
      </c>
      <c r="D129" s="2">
        <v>45657</v>
      </c>
      <c r="E129" s="3">
        <v>5881.63</v>
      </c>
      <c r="F129">
        <f t="shared" si="5"/>
        <v>-4.2939964541344501E-3</v>
      </c>
      <c r="H129">
        <f t="shared" si="6"/>
        <v>-7.2547406868429349E-3</v>
      </c>
      <c r="I129">
        <f t="shared" si="7"/>
        <v>-4.4658218509598469E-3</v>
      </c>
    </row>
    <row r="130" spans="1:9" x14ac:dyDescent="0.2">
      <c r="A130" s="2">
        <v>45659</v>
      </c>
      <c r="B130" s="1">
        <v>243.85</v>
      </c>
      <c r="C130">
        <f t="shared" si="4"/>
        <v>-2.6586226084739983E-2</v>
      </c>
      <c r="D130" s="2">
        <v>45659</v>
      </c>
      <c r="E130" s="3">
        <v>5868.55</v>
      </c>
      <c r="F130">
        <f t="shared" si="5"/>
        <v>-2.2263497925529528E-3</v>
      </c>
      <c r="H130">
        <f t="shared" si="6"/>
        <v>-2.6758051481565379E-2</v>
      </c>
      <c r="I130">
        <f t="shared" si="7"/>
        <v>-2.3981751893783496E-3</v>
      </c>
    </row>
    <row r="131" spans="1:9" x14ac:dyDescent="0.2">
      <c r="A131" s="2">
        <v>45660</v>
      </c>
      <c r="B131" s="1">
        <v>243.36</v>
      </c>
      <c r="C131">
        <f t="shared" si="4"/>
        <v>-2.0114536450788353E-3</v>
      </c>
      <c r="D131" s="2">
        <v>45660</v>
      </c>
      <c r="E131" s="3">
        <v>5942.47</v>
      </c>
      <c r="F131">
        <f t="shared" si="5"/>
        <v>1.2517287272659085E-2</v>
      </c>
      <c r="H131">
        <f t="shared" si="6"/>
        <v>-2.183279041904232E-3</v>
      </c>
      <c r="I131">
        <f t="shared" si="7"/>
        <v>1.2345461875833687E-2</v>
      </c>
    </row>
    <row r="132" spans="1:9" x14ac:dyDescent="0.2">
      <c r="A132" s="2">
        <v>45663</v>
      </c>
      <c r="B132" s="1">
        <v>245</v>
      </c>
      <c r="C132">
        <f t="shared" ref="C132:C189" si="8">LN(B132/B131)</f>
        <v>6.7163820337442027E-3</v>
      </c>
      <c r="D132" s="2">
        <v>45663</v>
      </c>
      <c r="E132" s="3">
        <v>5975.38</v>
      </c>
      <c r="F132">
        <f t="shared" ref="F132:F189" si="9">LN(E132/E131)</f>
        <v>5.5228222624888485E-3</v>
      </c>
      <c r="H132">
        <f t="shared" ref="H132:H189" si="10">C132-$G$2/252</f>
        <v>6.5445566369188059E-3</v>
      </c>
      <c r="I132">
        <f t="shared" ref="I132:I189" si="11">F132-$G$2/252</f>
        <v>5.3509968656634517E-3</v>
      </c>
    </row>
    <row r="133" spans="1:9" x14ac:dyDescent="0.2">
      <c r="A133" s="2">
        <v>45664</v>
      </c>
      <c r="B133" s="1">
        <v>242.21</v>
      </c>
      <c r="C133">
        <f t="shared" si="8"/>
        <v>-1.1453092086491822E-2</v>
      </c>
      <c r="D133" s="2">
        <v>45664</v>
      </c>
      <c r="E133" s="3">
        <v>5909.03</v>
      </c>
      <c r="F133">
        <f t="shared" si="9"/>
        <v>-1.116600476981219E-2</v>
      </c>
      <c r="H133">
        <f t="shared" si="10"/>
        <v>-1.162491748331722E-2</v>
      </c>
      <c r="I133">
        <f t="shared" si="11"/>
        <v>-1.1337830166637588E-2</v>
      </c>
    </row>
    <row r="134" spans="1:9" x14ac:dyDescent="0.2">
      <c r="A134" s="2">
        <v>45665</v>
      </c>
      <c r="B134" s="1">
        <v>242.7</v>
      </c>
      <c r="C134">
        <f t="shared" si="8"/>
        <v>2.0209942743203797E-3</v>
      </c>
      <c r="D134" s="2">
        <v>45665</v>
      </c>
      <c r="E134" s="3">
        <v>5918.25</v>
      </c>
      <c r="F134">
        <f t="shared" si="9"/>
        <v>1.559107735282887E-3</v>
      </c>
      <c r="H134">
        <f t="shared" si="10"/>
        <v>1.8491688774949829E-3</v>
      </c>
      <c r="I134">
        <f t="shared" si="11"/>
        <v>1.3872823384574902E-3</v>
      </c>
    </row>
    <row r="135" spans="1:9" x14ac:dyDescent="0.2">
      <c r="A135" s="2">
        <v>45667</v>
      </c>
      <c r="B135" s="1">
        <v>236.85</v>
      </c>
      <c r="C135">
        <f t="shared" si="8"/>
        <v>-2.4399083362794845E-2</v>
      </c>
      <c r="D135" s="2">
        <v>45667</v>
      </c>
      <c r="E135" s="3">
        <v>5827.04</v>
      </c>
      <c r="F135">
        <f t="shared" si="9"/>
        <v>-1.5531644353894208E-2</v>
      </c>
      <c r="H135">
        <f t="shared" si="10"/>
        <v>-2.4570908759620241E-2</v>
      </c>
      <c r="I135">
        <f t="shared" si="11"/>
        <v>-1.5703469750719606E-2</v>
      </c>
    </row>
    <row r="136" spans="1:9" x14ac:dyDescent="0.2">
      <c r="A136" s="2">
        <v>45670</v>
      </c>
      <c r="B136" s="1">
        <v>234.4</v>
      </c>
      <c r="C136">
        <f t="shared" si="8"/>
        <v>-1.0397971666903203E-2</v>
      </c>
      <c r="D136" s="2">
        <v>45670</v>
      </c>
      <c r="E136" s="3">
        <v>5836.22</v>
      </c>
      <c r="F136">
        <f t="shared" si="9"/>
        <v>1.5741742695762329E-3</v>
      </c>
      <c r="H136">
        <f t="shared" si="10"/>
        <v>-1.0569797063728601E-2</v>
      </c>
      <c r="I136">
        <f t="shared" si="11"/>
        <v>1.4023488727508361E-3</v>
      </c>
    </row>
    <row r="137" spans="1:9" x14ac:dyDescent="0.2">
      <c r="A137" s="2">
        <v>45671</v>
      </c>
      <c r="B137" s="1">
        <v>233.28</v>
      </c>
      <c r="C137">
        <f t="shared" si="8"/>
        <v>-4.7896088825642048E-3</v>
      </c>
      <c r="D137" s="2">
        <v>45671</v>
      </c>
      <c r="E137" s="3">
        <v>5842.91</v>
      </c>
      <c r="F137">
        <f t="shared" si="9"/>
        <v>1.1456334044923633E-3</v>
      </c>
      <c r="H137">
        <f t="shared" si="10"/>
        <v>-4.9614342793896015E-3</v>
      </c>
      <c r="I137">
        <f t="shared" si="11"/>
        <v>9.7380800766696651E-4</v>
      </c>
    </row>
    <row r="138" spans="1:9" x14ac:dyDescent="0.2">
      <c r="A138" s="2">
        <v>45672</v>
      </c>
      <c r="B138" s="1">
        <v>237.87</v>
      </c>
      <c r="C138">
        <f t="shared" si="8"/>
        <v>1.9484857132124001E-2</v>
      </c>
      <c r="D138" s="2">
        <v>45672</v>
      </c>
      <c r="E138" s="3">
        <v>5949.91</v>
      </c>
      <c r="F138">
        <f t="shared" si="9"/>
        <v>1.8147132985426716E-2</v>
      </c>
      <c r="H138">
        <f t="shared" si="10"/>
        <v>1.9313031735298605E-2</v>
      </c>
      <c r="I138">
        <f t="shared" si="11"/>
        <v>1.797530758860132E-2</v>
      </c>
    </row>
    <row r="139" spans="1:9" x14ac:dyDescent="0.2">
      <c r="A139" s="2">
        <v>45673</v>
      </c>
      <c r="B139" s="1">
        <v>228.26</v>
      </c>
      <c r="C139">
        <f t="shared" si="8"/>
        <v>-4.1238975826963314E-2</v>
      </c>
      <c r="D139" s="2">
        <v>45673</v>
      </c>
      <c r="E139" s="3">
        <v>5937.34</v>
      </c>
      <c r="F139">
        <f t="shared" si="9"/>
        <v>-2.1148717634665781E-3</v>
      </c>
      <c r="H139">
        <f t="shared" si="10"/>
        <v>-4.1410801223788714E-2</v>
      </c>
      <c r="I139">
        <f t="shared" si="11"/>
        <v>-2.2866971602919749E-3</v>
      </c>
    </row>
    <row r="140" spans="1:9" x14ac:dyDescent="0.2">
      <c r="A140" s="2">
        <v>45674</v>
      </c>
      <c r="B140" s="1">
        <v>229.98</v>
      </c>
      <c r="C140">
        <f t="shared" si="8"/>
        <v>7.5070184950648353E-3</v>
      </c>
      <c r="D140" s="2">
        <v>45674</v>
      </c>
      <c r="E140" s="3">
        <v>5996.66</v>
      </c>
      <c r="F140">
        <f t="shared" si="9"/>
        <v>9.9414259357241096E-3</v>
      </c>
      <c r="H140">
        <f t="shared" si="10"/>
        <v>7.3351930982394386E-3</v>
      </c>
      <c r="I140">
        <f t="shared" si="11"/>
        <v>9.7696005388987119E-3</v>
      </c>
    </row>
    <row r="141" spans="1:9" x14ac:dyDescent="0.2">
      <c r="A141" s="2">
        <v>45678</v>
      </c>
      <c r="B141" s="1">
        <v>222.64</v>
      </c>
      <c r="C141">
        <f t="shared" si="8"/>
        <v>-3.2436231402883438E-2</v>
      </c>
      <c r="D141" s="2">
        <v>45678</v>
      </c>
      <c r="E141" s="3">
        <v>6049.24</v>
      </c>
      <c r="F141">
        <f t="shared" si="9"/>
        <v>8.7299967522312897E-3</v>
      </c>
      <c r="H141">
        <f t="shared" si="10"/>
        <v>-3.2608056799708837E-2</v>
      </c>
      <c r="I141">
        <f t="shared" si="11"/>
        <v>8.5581713554058921E-3</v>
      </c>
    </row>
    <row r="142" spans="1:9" x14ac:dyDescent="0.2">
      <c r="A142" s="2">
        <v>45679</v>
      </c>
      <c r="B142" s="1">
        <v>223.83</v>
      </c>
      <c r="C142">
        <f t="shared" si="8"/>
        <v>5.3307179338975266E-3</v>
      </c>
      <c r="D142" s="2">
        <v>45679</v>
      </c>
      <c r="E142" s="3">
        <v>6086.37</v>
      </c>
      <c r="F142">
        <f t="shared" si="9"/>
        <v>6.1192005774427091E-3</v>
      </c>
      <c r="H142">
        <f t="shared" si="10"/>
        <v>5.1588925370721298E-3</v>
      </c>
      <c r="I142">
        <f t="shared" si="11"/>
        <v>5.9473751806173123E-3</v>
      </c>
    </row>
    <row r="143" spans="1:9" x14ac:dyDescent="0.2">
      <c r="A143" s="2">
        <v>45680</v>
      </c>
      <c r="B143" s="1">
        <v>223.66</v>
      </c>
      <c r="C143">
        <f t="shared" si="8"/>
        <v>-7.5979355149053557E-4</v>
      </c>
      <c r="D143" s="2">
        <v>45680</v>
      </c>
      <c r="E143" s="3">
        <v>6118.71</v>
      </c>
      <c r="F143">
        <f t="shared" si="9"/>
        <v>5.2994450977238887E-3</v>
      </c>
      <c r="H143">
        <f t="shared" si="10"/>
        <v>-9.3161894831593245E-4</v>
      </c>
      <c r="I143">
        <f t="shared" si="11"/>
        <v>5.127619700898492E-3</v>
      </c>
    </row>
    <row r="144" spans="1:9" x14ac:dyDescent="0.2">
      <c r="A144" s="2">
        <v>45681</v>
      </c>
      <c r="B144" s="1">
        <v>222.78</v>
      </c>
      <c r="C144">
        <f t="shared" si="8"/>
        <v>-3.9423041829985839E-3</v>
      </c>
      <c r="D144" s="2">
        <v>45681</v>
      </c>
      <c r="E144" s="3">
        <v>6101.24</v>
      </c>
      <c r="F144">
        <f t="shared" si="9"/>
        <v>-2.8592607828964826E-3</v>
      </c>
      <c r="H144">
        <f t="shared" si="10"/>
        <v>-4.1141295798239807E-3</v>
      </c>
      <c r="I144">
        <f t="shared" si="11"/>
        <v>-3.0310861797218794E-3</v>
      </c>
    </row>
    <row r="145" spans="1:17" x14ac:dyDescent="0.2">
      <c r="A145" s="2">
        <v>45684</v>
      </c>
      <c r="B145" s="1">
        <v>229.86</v>
      </c>
      <c r="C145">
        <f t="shared" si="8"/>
        <v>3.1285690523568978E-2</v>
      </c>
      <c r="D145" s="2">
        <v>45684</v>
      </c>
      <c r="E145" s="3">
        <v>6012.28</v>
      </c>
      <c r="F145">
        <f t="shared" si="9"/>
        <v>-1.4687984883634318E-2</v>
      </c>
      <c r="H145">
        <f t="shared" si="10"/>
        <v>3.1113865126743582E-2</v>
      </c>
      <c r="I145">
        <f t="shared" si="11"/>
        <v>-1.4859810280459716E-2</v>
      </c>
    </row>
    <row r="146" spans="1:17" x14ac:dyDescent="0.2">
      <c r="A146" s="2">
        <v>45685</v>
      </c>
      <c r="B146" s="1">
        <v>238.26</v>
      </c>
      <c r="C146">
        <f t="shared" si="8"/>
        <v>3.5892086430602384E-2</v>
      </c>
      <c r="D146" s="2">
        <v>45685</v>
      </c>
      <c r="E146" s="3">
        <v>6067.7</v>
      </c>
      <c r="F146">
        <f t="shared" si="9"/>
        <v>9.1755762546756169E-3</v>
      </c>
      <c r="H146">
        <f t="shared" si="10"/>
        <v>3.5720261033776984E-2</v>
      </c>
      <c r="I146">
        <f t="shared" si="11"/>
        <v>9.0037508578502193E-3</v>
      </c>
    </row>
    <row r="147" spans="1:17" x14ac:dyDescent="0.2">
      <c r="A147" s="2">
        <v>45686</v>
      </c>
      <c r="B147" s="1">
        <v>239.36</v>
      </c>
      <c r="C147">
        <f t="shared" si="8"/>
        <v>4.6061804148975023E-3</v>
      </c>
      <c r="D147" s="2">
        <v>45686</v>
      </c>
      <c r="E147" s="3">
        <v>6039.31</v>
      </c>
      <c r="F147">
        <f t="shared" si="9"/>
        <v>-4.6898535700948913E-3</v>
      </c>
      <c r="H147">
        <f t="shared" si="10"/>
        <v>4.4343550180721055E-3</v>
      </c>
      <c r="I147">
        <f t="shared" si="11"/>
        <v>-4.8616789669202881E-3</v>
      </c>
    </row>
    <row r="148" spans="1:17" x14ac:dyDescent="0.2">
      <c r="A148" s="2">
        <v>45687</v>
      </c>
      <c r="B148" s="1">
        <v>237.59</v>
      </c>
      <c r="C148">
        <f t="shared" si="8"/>
        <v>-7.4221957254156003E-3</v>
      </c>
      <c r="D148" s="2">
        <v>45687</v>
      </c>
      <c r="E148" s="3">
        <v>6071.17</v>
      </c>
      <c r="F148">
        <f t="shared" si="9"/>
        <v>5.2615707224356184E-3</v>
      </c>
      <c r="H148">
        <f t="shared" si="10"/>
        <v>-7.5940211222409971E-3</v>
      </c>
      <c r="I148">
        <f t="shared" si="11"/>
        <v>5.0897453256102216E-3</v>
      </c>
    </row>
    <row r="149" spans="1:17" x14ac:dyDescent="0.2">
      <c r="A149" s="2">
        <v>45688</v>
      </c>
      <c r="B149" s="1">
        <v>236</v>
      </c>
      <c r="C149">
        <f t="shared" si="8"/>
        <v>-6.714694035086833E-3</v>
      </c>
      <c r="D149" s="2">
        <v>45688</v>
      </c>
      <c r="E149" s="3">
        <v>6040.53</v>
      </c>
      <c r="F149">
        <f t="shared" si="9"/>
        <v>-5.0595812914254659E-3</v>
      </c>
      <c r="H149">
        <f t="shared" si="10"/>
        <v>-6.8865194319122297E-3</v>
      </c>
      <c r="I149">
        <f t="shared" si="11"/>
        <v>-5.2314066882508626E-3</v>
      </c>
    </row>
    <row r="150" spans="1:17" x14ac:dyDescent="0.2">
      <c r="A150" s="2">
        <v>45691</v>
      </c>
      <c r="B150" s="1">
        <v>228.01</v>
      </c>
      <c r="C150">
        <f t="shared" si="8"/>
        <v>-3.4442317383852845E-2</v>
      </c>
      <c r="D150" s="2">
        <v>45691</v>
      </c>
      <c r="E150" s="3">
        <v>5994.57</v>
      </c>
      <c r="F150">
        <f t="shared" si="9"/>
        <v>-7.637696973119063E-3</v>
      </c>
      <c r="H150">
        <f t="shared" si="10"/>
        <v>-3.4614142780678245E-2</v>
      </c>
      <c r="I150">
        <f t="shared" si="11"/>
        <v>-7.8095223699444598E-3</v>
      </c>
    </row>
    <row r="151" spans="1:17" x14ac:dyDescent="0.2">
      <c r="A151" s="2">
        <v>45692</v>
      </c>
      <c r="B151" s="1">
        <v>232.8</v>
      </c>
      <c r="C151">
        <f t="shared" si="8"/>
        <v>2.0790228215525564E-2</v>
      </c>
      <c r="D151" s="2">
        <v>45692</v>
      </c>
      <c r="E151" s="3">
        <v>6037.88</v>
      </c>
      <c r="F151">
        <f t="shared" si="9"/>
        <v>7.1988974883324779E-3</v>
      </c>
      <c r="H151">
        <f t="shared" si="10"/>
        <v>2.0618402818700168E-2</v>
      </c>
      <c r="I151">
        <f t="shared" si="11"/>
        <v>7.0270720915070811E-3</v>
      </c>
    </row>
    <row r="152" spans="1:17" ht="17" thickBot="1" x14ac:dyDescent="0.25">
      <c r="A152" s="2">
        <v>45693</v>
      </c>
      <c r="B152" s="1">
        <v>232.47</v>
      </c>
      <c r="C152">
        <f t="shared" si="8"/>
        <v>-1.4185314133143574E-3</v>
      </c>
      <c r="D152" s="2">
        <v>45693</v>
      </c>
      <c r="E152" s="3">
        <v>6061.48</v>
      </c>
      <c r="F152">
        <f t="shared" si="9"/>
        <v>3.9010377290886913E-3</v>
      </c>
      <c r="H152">
        <f t="shared" si="10"/>
        <v>-1.5903568101397541E-3</v>
      </c>
      <c r="I152">
        <f t="shared" si="11"/>
        <v>3.7292123322632945E-3</v>
      </c>
    </row>
    <row r="153" spans="1:17" x14ac:dyDescent="0.2">
      <c r="A153" s="2">
        <v>45694</v>
      </c>
      <c r="B153" s="1">
        <v>233.22</v>
      </c>
      <c r="C153">
        <f t="shared" si="8"/>
        <v>3.2210296482183117E-3</v>
      </c>
      <c r="D153" s="2">
        <v>45694</v>
      </c>
      <c r="E153" s="3">
        <v>6083.57</v>
      </c>
      <c r="F153">
        <f t="shared" si="9"/>
        <v>3.637700027498819E-3</v>
      </c>
      <c r="H153">
        <f t="shared" si="10"/>
        <v>3.049204251392915E-3</v>
      </c>
      <c r="I153">
        <f t="shared" si="11"/>
        <v>3.4658746306734222E-3</v>
      </c>
      <c r="P153" s="13"/>
      <c r="Q153" s="13"/>
    </row>
    <row r="154" spans="1:17" x14ac:dyDescent="0.2">
      <c r="A154" s="2">
        <v>45695</v>
      </c>
      <c r="B154" s="1">
        <v>227.63</v>
      </c>
      <c r="C154">
        <f t="shared" si="8"/>
        <v>-2.4260710332889599E-2</v>
      </c>
      <c r="D154" s="2">
        <v>45695</v>
      </c>
      <c r="E154" s="3">
        <v>6025.99</v>
      </c>
      <c r="F154">
        <f t="shared" si="9"/>
        <v>-9.5099134821077444E-3</v>
      </c>
      <c r="H154">
        <f t="shared" si="10"/>
        <v>-2.4432535729714995E-2</v>
      </c>
      <c r="I154">
        <f t="shared" si="11"/>
        <v>-9.681738878933142E-3</v>
      </c>
      <c r="P154" s="11"/>
      <c r="Q154" s="11"/>
    </row>
    <row r="155" spans="1:17" x14ac:dyDescent="0.2">
      <c r="A155" s="2">
        <v>45698</v>
      </c>
      <c r="B155" s="1">
        <v>227.65</v>
      </c>
      <c r="C155">
        <f t="shared" si="8"/>
        <v>8.7858021493861051E-5</v>
      </c>
      <c r="D155" s="2">
        <v>45698</v>
      </c>
      <c r="E155" s="3">
        <v>6066.44</v>
      </c>
      <c r="F155">
        <f t="shared" si="9"/>
        <v>6.6901608481496353E-3</v>
      </c>
      <c r="H155">
        <f t="shared" si="10"/>
        <v>-8.396737533153578E-5</v>
      </c>
      <c r="I155">
        <f t="shared" si="11"/>
        <v>6.5183354513242385E-3</v>
      </c>
      <c r="P155" s="11"/>
      <c r="Q155" s="11"/>
    </row>
    <row r="156" spans="1:17" x14ac:dyDescent="0.2">
      <c r="A156" s="2">
        <v>45699</v>
      </c>
      <c r="B156" s="1">
        <v>232.62</v>
      </c>
      <c r="C156">
        <f t="shared" si="8"/>
        <v>2.1596859130101596E-2</v>
      </c>
      <c r="D156" s="2">
        <v>45699</v>
      </c>
      <c r="E156" s="3">
        <v>6068.5</v>
      </c>
      <c r="F156">
        <f t="shared" si="9"/>
        <v>3.3951548500248807E-4</v>
      </c>
      <c r="H156">
        <f t="shared" si="10"/>
        <v>2.14250337332762E-2</v>
      </c>
      <c r="I156">
        <f t="shared" si="11"/>
        <v>1.6769008817709124E-4</v>
      </c>
      <c r="P156" s="11"/>
      <c r="Q156" s="11"/>
    </row>
    <row r="157" spans="1:17" x14ac:dyDescent="0.2">
      <c r="A157" s="2">
        <v>45700</v>
      </c>
      <c r="B157" s="1">
        <v>236.87</v>
      </c>
      <c r="C157">
        <f t="shared" si="8"/>
        <v>1.810524652359782E-2</v>
      </c>
      <c r="D157" s="2">
        <v>45700</v>
      </c>
      <c r="E157" s="3">
        <v>6051.97</v>
      </c>
      <c r="F157">
        <f t="shared" si="9"/>
        <v>-2.7276186894511618E-3</v>
      </c>
      <c r="H157">
        <f t="shared" si="10"/>
        <v>1.7933421126772424E-2</v>
      </c>
      <c r="I157">
        <f t="shared" si="11"/>
        <v>-2.8994440862765585E-3</v>
      </c>
      <c r="P157" s="11"/>
      <c r="Q157" s="11"/>
    </row>
    <row r="158" spans="1:17" x14ac:dyDescent="0.2">
      <c r="A158" s="2">
        <v>45701</v>
      </c>
      <c r="B158" s="1">
        <v>241.53</v>
      </c>
      <c r="C158">
        <f t="shared" si="8"/>
        <v>1.9482221545508639E-2</v>
      </c>
      <c r="D158" s="2">
        <v>45701</v>
      </c>
      <c r="E158" s="3">
        <v>6115.07</v>
      </c>
      <c r="F158">
        <f t="shared" si="9"/>
        <v>1.0372377459622351E-2</v>
      </c>
      <c r="H158">
        <f t="shared" si="10"/>
        <v>1.9310396148683243E-2</v>
      </c>
      <c r="I158">
        <f t="shared" si="11"/>
        <v>1.0200552062796953E-2</v>
      </c>
      <c r="P158" s="11"/>
      <c r="Q158" s="11"/>
    </row>
    <row r="159" spans="1:17" x14ac:dyDescent="0.2">
      <c r="A159" s="2">
        <v>45702</v>
      </c>
      <c r="B159" s="1">
        <v>244.6</v>
      </c>
      <c r="C159">
        <f t="shared" si="8"/>
        <v>1.2630534273072785E-2</v>
      </c>
      <c r="D159" s="2">
        <v>45702</v>
      </c>
      <c r="E159" s="3">
        <v>6114.63</v>
      </c>
      <c r="F159">
        <f t="shared" si="9"/>
        <v>-7.1955976056534599E-5</v>
      </c>
      <c r="H159">
        <f t="shared" si="10"/>
        <v>1.2458708876247388E-2</v>
      </c>
      <c r="I159">
        <f t="shared" si="11"/>
        <v>-2.4378137288193143E-4</v>
      </c>
      <c r="P159" s="11"/>
      <c r="Q159" s="11"/>
    </row>
    <row r="160" spans="1:17" x14ac:dyDescent="0.2">
      <c r="A160" s="2">
        <v>45706</v>
      </c>
      <c r="B160" s="1">
        <v>244.47</v>
      </c>
      <c r="C160">
        <f t="shared" si="8"/>
        <v>-5.3162125283384893E-4</v>
      </c>
      <c r="D160" s="2">
        <v>45706</v>
      </c>
      <c r="E160" s="3">
        <v>6129.58</v>
      </c>
      <c r="F160">
        <f t="shared" si="9"/>
        <v>2.4419717448794743E-3</v>
      </c>
      <c r="H160">
        <f t="shared" si="10"/>
        <v>-7.0344664965924582E-4</v>
      </c>
      <c r="I160">
        <f t="shared" si="11"/>
        <v>2.2701463480540775E-3</v>
      </c>
      <c r="P160" s="11"/>
      <c r="Q160" s="11"/>
    </row>
    <row r="161" spans="1:17" x14ac:dyDescent="0.2">
      <c r="A161" s="2">
        <v>45707</v>
      </c>
      <c r="B161" s="1">
        <v>244.87</v>
      </c>
      <c r="C161">
        <f t="shared" si="8"/>
        <v>1.6348554750960618E-3</v>
      </c>
      <c r="D161" s="2">
        <v>45707</v>
      </c>
      <c r="E161" s="3">
        <v>6144.15</v>
      </c>
      <c r="F161">
        <f t="shared" si="9"/>
        <v>2.3741775065794562E-3</v>
      </c>
      <c r="H161">
        <f t="shared" si="10"/>
        <v>1.4630300782706651E-3</v>
      </c>
      <c r="I161">
        <f t="shared" si="11"/>
        <v>2.2023521097540594E-3</v>
      </c>
      <c r="P161" s="11"/>
      <c r="Q161" s="11"/>
    </row>
    <row r="162" spans="1:17" x14ac:dyDescent="0.2">
      <c r="A162" s="2">
        <v>45708</v>
      </c>
      <c r="B162" s="1">
        <v>245.83</v>
      </c>
      <c r="C162">
        <f t="shared" si="8"/>
        <v>3.9127826565687213E-3</v>
      </c>
      <c r="D162" s="2">
        <v>45708</v>
      </c>
      <c r="E162" s="3">
        <v>6117.52</v>
      </c>
      <c r="F162">
        <f t="shared" si="9"/>
        <v>-4.3436239711486854E-3</v>
      </c>
      <c r="H162">
        <f t="shared" si="10"/>
        <v>3.7409572597433246E-3</v>
      </c>
      <c r="I162">
        <f t="shared" si="11"/>
        <v>-4.5154493679740821E-3</v>
      </c>
      <c r="P162" s="11"/>
      <c r="Q162" s="11"/>
    </row>
    <row r="163" spans="1:17" x14ac:dyDescent="0.2">
      <c r="A163" s="2">
        <v>45709</v>
      </c>
      <c r="B163" s="1">
        <v>245.55</v>
      </c>
      <c r="C163">
        <f t="shared" si="8"/>
        <v>-1.1396476466492649E-3</v>
      </c>
      <c r="D163" s="2">
        <v>45709</v>
      </c>
      <c r="E163" s="3">
        <v>6013.13</v>
      </c>
      <c r="F163">
        <f t="shared" si="9"/>
        <v>-1.7211373991262081E-2</v>
      </c>
      <c r="H163">
        <f t="shared" si="10"/>
        <v>-1.3114730434746617E-3</v>
      </c>
      <c r="I163">
        <f t="shared" si="11"/>
        <v>-1.7383199388087477E-2</v>
      </c>
      <c r="P163" s="11"/>
      <c r="Q163" s="11"/>
    </row>
    <row r="164" spans="1:17" x14ac:dyDescent="0.2">
      <c r="A164" s="2">
        <v>45712</v>
      </c>
      <c r="B164" s="1">
        <v>247.1</v>
      </c>
      <c r="C164">
        <f t="shared" si="8"/>
        <v>6.2925205093107527E-3</v>
      </c>
      <c r="D164" s="2">
        <v>45712</v>
      </c>
      <c r="E164" s="3">
        <v>5983.25</v>
      </c>
      <c r="F164">
        <f t="shared" si="9"/>
        <v>-4.9815130548550111E-3</v>
      </c>
      <c r="H164">
        <f t="shared" si="10"/>
        <v>6.1206951124853559E-3</v>
      </c>
      <c r="I164">
        <f t="shared" si="11"/>
        <v>-5.1533384516804078E-3</v>
      </c>
      <c r="P164" s="11"/>
      <c r="Q164" s="11"/>
    </row>
    <row r="165" spans="1:17" x14ac:dyDescent="0.2">
      <c r="A165" s="2">
        <v>45713</v>
      </c>
      <c r="B165" s="1">
        <v>247.04</v>
      </c>
      <c r="C165">
        <f t="shared" si="8"/>
        <v>-2.4284615815310331E-4</v>
      </c>
      <c r="D165" s="2">
        <v>45713</v>
      </c>
      <c r="E165" s="3">
        <v>5955.25</v>
      </c>
      <c r="F165">
        <f t="shared" si="9"/>
        <v>-4.690715138395557E-3</v>
      </c>
      <c r="H165">
        <f t="shared" si="10"/>
        <v>-4.1467155497850014E-4</v>
      </c>
      <c r="I165">
        <f t="shared" si="11"/>
        <v>-4.8625405352209538E-3</v>
      </c>
      <c r="P165" s="11"/>
      <c r="Q165" s="11"/>
    </row>
    <row r="166" spans="1:17" x14ac:dyDescent="0.2">
      <c r="A166" s="2">
        <v>45714</v>
      </c>
      <c r="B166" s="1">
        <v>240.36</v>
      </c>
      <c r="C166">
        <f t="shared" si="8"/>
        <v>-2.7412467370684025E-2</v>
      </c>
      <c r="D166" s="2">
        <v>45714</v>
      </c>
      <c r="E166" s="3">
        <v>5956.06</v>
      </c>
      <c r="F166">
        <f t="shared" si="9"/>
        <v>1.3600519191397061E-4</v>
      </c>
      <c r="H166">
        <f t="shared" si="10"/>
        <v>-2.758429276750942E-2</v>
      </c>
      <c r="I166">
        <f t="shared" si="11"/>
        <v>-3.5820204911426226E-5</v>
      </c>
      <c r="P166" s="11"/>
      <c r="Q166" s="11"/>
    </row>
    <row r="167" spans="1:17" ht="17" thickBot="1" x14ac:dyDescent="0.25">
      <c r="A167" s="2">
        <v>45715</v>
      </c>
      <c r="B167" s="1">
        <v>237.3</v>
      </c>
      <c r="C167">
        <f t="shared" si="8"/>
        <v>-1.2812636024009335E-2</v>
      </c>
      <c r="D167" s="2">
        <v>45715</v>
      </c>
      <c r="E167" s="3">
        <v>5861.57</v>
      </c>
      <c r="F167">
        <f t="shared" si="9"/>
        <v>-1.5991702852089028E-2</v>
      </c>
      <c r="H167">
        <f t="shared" si="10"/>
        <v>-1.2984461420834733E-2</v>
      </c>
      <c r="I167">
        <f t="shared" si="11"/>
        <v>-1.6163528248914424E-2</v>
      </c>
      <c r="P167" s="12"/>
      <c r="Q167" s="12"/>
    </row>
    <row r="168" spans="1:17" x14ac:dyDescent="0.2">
      <c r="A168" s="2">
        <v>45716</v>
      </c>
      <c r="B168" s="1">
        <v>241.84</v>
      </c>
      <c r="C168">
        <f t="shared" si="8"/>
        <v>1.8951187029484631E-2</v>
      </c>
      <c r="D168" s="2">
        <v>45716</v>
      </c>
      <c r="E168" s="3">
        <v>5954.5</v>
      </c>
      <c r="F168">
        <f t="shared" si="9"/>
        <v>1.5729750431897126E-2</v>
      </c>
      <c r="H168">
        <f t="shared" si="10"/>
        <v>1.8779361632659235E-2</v>
      </c>
      <c r="I168">
        <f t="shared" si="11"/>
        <v>1.5557925035071729E-2</v>
      </c>
    </row>
    <row r="169" spans="1:17" x14ac:dyDescent="0.2">
      <c r="A169" s="2">
        <v>45719</v>
      </c>
      <c r="B169" s="1">
        <v>238.03</v>
      </c>
      <c r="C169">
        <f t="shared" si="8"/>
        <v>-1.5879634323246551E-2</v>
      </c>
      <c r="D169" s="2">
        <v>45719</v>
      </c>
      <c r="E169" s="3">
        <v>5849.72</v>
      </c>
      <c r="F169">
        <f t="shared" si="9"/>
        <v>-1.7753439375493379E-2</v>
      </c>
      <c r="H169">
        <f t="shared" si="10"/>
        <v>-1.6051459720071947E-2</v>
      </c>
      <c r="I169">
        <f t="shared" si="11"/>
        <v>-1.7925264772318775E-2</v>
      </c>
    </row>
    <row r="170" spans="1:17" x14ac:dyDescent="0.2">
      <c r="A170" s="2">
        <v>45720</v>
      </c>
      <c r="B170" s="1">
        <v>235.93</v>
      </c>
      <c r="C170">
        <f t="shared" si="8"/>
        <v>-8.8615652893341244E-3</v>
      </c>
      <c r="D170" s="2">
        <v>45720</v>
      </c>
      <c r="E170" s="3">
        <v>5778.15</v>
      </c>
      <c r="F170">
        <f t="shared" si="9"/>
        <v>-1.2310234603366469E-2</v>
      </c>
      <c r="H170">
        <f t="shared" si="10"/>
        <v>-9.0333906861595221E-3</v>
      </c>
      <c r="I170">
        <f t="shared" si="11"/>
        <v>-1.2482060000191867E-2</v>
      </c>
    </row>
    <row r="171" spans="1:17" x14ac:dyDescent="0.2">
      <c r="A171" s="2">
        <v>45721</v>
      </c>
      <c r="B171" s="1">
        <v>235.74</v>
      </c>
      <c r="C171">
        <f t="shared" si="8"/>
        <v>-8.0564806019855866E-4</v>
      </c>
      <c r="D171" s="2">
        <v>45721</v>
      </c>
      <c r="E171" s="3">
        <v>5842.63</v>
      </c>
      <c r="F171">
        <f t="shared" si="9"/>
        <v>1.1097475685101249E-2</v>
      </c>
      <c r="H171">
        <f t="shared" si="10"/>
        <v>-9.7747345702395554E-4</v>
      </c>
      <c r="I171">
        <f t="shared" si="11"/>
        <v>1.0925650288275851E-2</v>
      </c>
    </row>
    <row r="172" spans="1:17" x14ac:dyDescent="0.2">
      <c r="A172" s="2">
        <v>45722</v>
      </c>
      <c r="B172" s="1">
        <v>235.33</v>
      </c>
      <c r="C172">
        <f t="shared" si="8"/>
        <v>-1.740718379554715E-3</v>
      </c>
      <c r="D172" s="2">
        <v>45722</v>
      </c>
      <c r="E172" s="3">
        <v>5738.52</v>
      </c>
      <c r="F172">
        <f t="shared" si="9"/>
        <v>-1.7979700568310077E-2</v>
      </c>
      <c r="H172">
        <f t="shared" si="10"/>
        <v>-1.9125437763801117E-3</v>
      </c>
      <c r="I172">
        <f t="shared" si="11"/>
        <v>-1.8151525965135473E-2</v>
      </c>
    </row>
    <row r="173" spans="1:17" x14ac:dyDescent="0.2">
      <c r="A173" s="2">
        <v>45723</v>
      </c>
      <c r="B173" s="1">
        <v>239.07</v>
      </c>
      <c r="C173">
        <f t="shared" si="8"/>
        <v>1.5767611658897701E-2</v>
      </c>
      <c r="D173" s="2">
        <v>45723</v>
      </c>
      <c r="E173" s="3">
        <v>5770.2</v>
      </c>
      <c r="F173">
        <f t="shared" si="9"/>
        <v>5.5054046005090125E-3</v>
      </c>
      <c r="H173">
        <f t="shared" si="10"/>
        <v>1.5595786262072303E-2</v>
      </c>
      <c r="I173">
        <f t="shared" si="11"/>
        <v>5.3335792036836157E-3</v>
      </c>
    </row>
    <row r="174" spans="1:17" x14ac:dyDescent="0.2">
      <c r="A174" s="2">
        <v>45726</v>
      </c>
      <c r="B174" s="1">
        <v>227.48</v>
      </c>
      <c r="C174">
        <f t="shared" si="8"/>
        <v>-4.9694073639167571E-2</v>
      </c>
      <c r="D174" s="2">
        <v>45726</v>
      </c>
      <c r="E174" s="3">
        <v>5614.56</v>
      </c>
      <c r="F174">
        <f t="shared" si="9"/>
        <v>-2.7343518375984407E-2</v>
      </c>
      <c r="H174">
        <f t="shared" si="10"/>
        <v>-4.9865899035992971E-2</v>
      </c>
      <c r="I174">
        <f t="shared" si="11"/>
        <v>-2.7515343772809803E-2</v>
      </c>
    </row>
    <row r="175" spans="1:17" x14ac:dyDescent="0.2">
      <c r="A175" s="2">
        <v>45727</v>
      </c>
      <c r="B175" s="1">
        <v>220.84</v>
      </c>
      <c r="C175">
        <f t="shared" si="8"/>
        <v>-2.9623865022754978E-2</v>
      </c>
      <c r="D175" s="2">
        <v>45727</v>
      </c>
      <c r="E175" s="3">
        <v>5572.07</v>
      </c>
      <c r="F175">
        <f t="shared" si="9"/>
        <v>-7.596604935651537E-3</v>
      </c>
      <c r="H175">
        <f t="shared" si="10"/>
        <v>-2.9795690419580374E-2</v>
      </c>
      <c r="I175">
        <f t="shared" si="11"/>
        <v>-7.7684303324769338E-3</v>
      </c>
    </row>
    <row r="176" spans="1:17" x14ac:dyDescent="0.2">
      <c r="A176" s="2">
        <v>45728</v>
      </c>
      <c r="B176" s="1">
        <v>216.98</v>
      </c>
      <c r="C176">
        <f t="shared" si="8"/>
        <v>-1.7633274021539299E-2</v>
      </c>
      <c r="D176" s="2">
        <v>45728</v>
      </c>
      <c r="E176" s="3">
        <v>5599.3</v>
      </c>
      <c r="F176">
        <f t="shared" si="9"/>
        <v>4.8749712752344252E-3</v>
      </c>
      <c r="H176">
        <f t="shared" si="10"/>
        <v>-1.7805099418364695E-2</v>
      </c>
      <c r="I176">
        <f t="shared" si="11"/>
        <v>4.7031458784090284E-3</v>
      </c>
    </row>
    <row r="177" spans="1:9" x14ac:dyDescent="0.2">
      <c r="A177" s="2">
        <v>45729</v>
      </c>
      <c r="B177" s="1">
        <v>209.68</v>
      </c>
      <c r="C177">
        <f t="shared" si="8"/>
        <v>-3.4222624379153584E-2</v>
      </c>
      <c r="D177" s="2">
        <v>45729</v>
      </c>
      <c r="E177" s="3">
        <v>5521.52</v>
      </c>
      <c r="F177">
        <f t="shared" si="9"/>
        <v>-1.3988405225352909E-2</v>
      </c>
      <c r="H177">
        <f t="shared" si="10"/>
        <v>-3.4394449775978983E-2</v>
      </c>
      <c r="I177">
        <f t="shared" si="11"/>
        <v>-1.4160230622178306E-2</v>
      </c>
    </row>
    <row r="178" spans="1:9" x14ac:dyDescent="0.2">
      <c r="A178" s="2">
        <v>45730</v>
      </c>
      <c r="B178" s="1">
        <v>213.49</v>
      </c>
      <c r="C178">
        <f t="shared" si="8"/>
        <v>1.8007434149081746E-2</v>
      </c>
      <c r="D178" s="2">
        <v>45730</v>
      </c>
      <c r="E178" s="3">
        <v>5638.94</v>
      </c>
      <c r="F178">
        <f t="shared" si="9"/>
        <v>2.1042919881408308E-2</v>
      </c>
      <c r="H178">
        <f t="shared" si="10"/>
        <v>1.783560875225635E-2</v>
      </c>
      <c r="I178">
        <f t="shared" si="11"/>
        <v>2.0871094484582912E-2</v>
      </c>
    </row>
    <row r="179" spans="1:9" x14ac:dyDescent="0.2">
      <c r="A179" s="2">
        <v>45733</v>
      </c>
      <c r="B179" s="1">
        <v>214</v>
      </c>
      <c r="C179">
        <f t="shared" si="8"/>
        <v>2.3860218576188547E-3</v>
      </c>
      <c r="D179" s="2">
        <v>45733</v>
      </c>
      <c r="E179" s="3">
        <v>5675.12</v>
      </c>
      <c r="F179">
        <f t="shared" si="9"/>
        <v>6.3956039343475201E-3</v>
      </c>
      <c r="H179">
        <f t="shared" si="10"/>
        <v>2.214196460793458E-3</v>
      </c>
      <c r="I179">
        <f t="shared" si="11"/>
        <v>6.2237785375221233E-3</v>
      </c>
    </row>
    <row r="180" spans="1:9" x14ac:dyDescent="0.2">
      <c r="A180" s="2">
        <v>45734</v>
      </c>
      <c r="B180" s="1">
        <v>212.69</v>
      </c>
      <c r="C180">
        <f t="shared" si="8"/>
        <v>-6.1403084953978448E-3</v>
      </c>
      <c r="D180" s="2">
        <v>45734</v>
      </c>
      <c r="E180" s="3">
        <v>5614.66</v>
      </c>
      <c r="F180">
        <f t="shared" si="9"/>
        <v>-1.071067425391002E-2</v>
      </c>
      <c r="H180">
        <f t="shared" si="10"/>
        <v>-6.3121338922232416E-3</v>
      </c>
      <c r="I180">
        <f t="shared" si="11"/>
        <v>-1.0882499650735417E-2</v>
      </c>
    </row>
    <row r="181" spans="1:9" x14ac:dyDescent="0.2">
      <c r="A181" s="2">
        <v>45735</v>
      </c>
      <c r="B181" s="1">
        <v>215.24</v>
      </c>
      <c r="C181">
        <f t="shared" si="8"/>
        <v>1.1917978094765389E-2</v>
      </c>
      <c r="D181" s="2">
        <v>45735</v>
      </c>
      <c r="E181" s="3">
        <v>5675.29</v>
      </c>
      <c r="F181">
        <f t="shared" si="9"/>
        <v>1.0740629118978858E-2</v>
      </c>
      <c r="H181">
        <f t="shared" si="10"/>
        <v>1.1746152697939992E-2</v>
      </c>
      <c r="I181">
        <f t="shared" si="11"/>
        <v>1.056880372215346E-2</v>
      </c>
    </row>
    <row r="182" spans="1:9" x14ac:dyDescent="0.2">
      <c r="A182" s="2">
        <v>45736</v>
      </c>
      <c r="B182" s="1">
        <v>214.1</v>
      </c>
      <c r="C182">
        <f t="shared" si="8"/>
        <v>-5.3104890255818429E-3</v>
      </c>
      <c r="D182" s="2">
        <v>45736</v>
      </c>
      <c r="E182" s="3">
        <v>5662.89</v>
      </c>
      <c r="F182">
        <f t="shared" si="9"/>
        <v>-2.1873007738032347E-3</v>
      </c>
      <c r="H182">
        <f t="shared" si="10"/>
        <v>-5.4823144224072397E-3</v>
      </c>
      <c r="I182">
        <f t="shared" si="11"/>
        <v>-2.3591261706286315E-3</v>
      </c>
    </row>
    <row r="183" spans="1:9" x14ac:dyDescent="0.2">
      <c r="A183" s="2">
        <v>45737</v>
      </c>
      <c r="B183" s="1">
        <v>218.27</v>
      </c>
      <c r="C183">
        <f t="shared" si="8"/>
        <v>1.9289632955349155E-2</v>
      </c>
      <c r="D183" s="2">
        <v>45737</v>
      </c>
      <c r="E183" s="3">
        <v>5667.56</v>
      </c>
      <c r="F183">
        <f t="shared" si="9"/>
        <v>8.2432741231720308E-4</v>
      </c>
      <c r="H183">
        <f t="shared" si="10"/>
        <v>1.9117807558523759E-2</v>
      </c>
      <c r="I183">
        <f t="shared" si="11"/>
        <v>6.5250201549180631E-4</v>
      </c>
    </row>
    <row r="184" spans="1:9" x14ac:dyDescent="0.2">
      <c r="A184" s="2">
        <v>45740</v>
      </c>
      <c r="B184" s="1">
        <v>220.73</v>
      </c>
      <c r="C184">
        <f t="shared" si="8"/>
        <v>1.1207406602134005E-2</v>
      </c>
      <c r="D184" s="2">
        <v>45740</v>
      </c>
      <c r="E184" s="3">
        <v>5767.57</v>
      </c>
      <c r="F184">
        <f t="shared" si="9"/>
        <v>1.7492157944606672E-2</v>
      </c>
      <c r="H184">
        <f t="shared" si="10"/>
        <v>1.1035581205308608E-2</v>
      </c>
      <c r="I184">
        <f t="shared" si="11"/>
        <v>1.7320332547781276E-2</v>
      </c>
    </row>
    <row r="185" spans="1:9" x14ac:dyDescent="0.2">
      <c r="A185" s="2">
        <v>45741</v>
      </c>
      <c r="B185" s="1">
        <v>223.75</v>
      </c>
      <c r="C185">
        <f t="shared" si="8"/>
        <v>1.3589122001844327E-2</v>
      </c>
      <c r="D185" s="2">
        <v>45741</v>
      </c>
      <c r="E185" s="3">
        <v>5776.65</v>
      </c>
      <c r="F185">
        <f t="shared" si="9"/>
        <v>1.5730819184730236E-3</v>
      </c>
      <c r="H185">
        <f t="shared" si="10"/>
        <v>1.3417296605018929E-2</v>
      </c>
      <c r="I185">
        <f t="shared" si="11"/>
        <v>1.4012565216476268E-3</v>
      </c>
    </row>
    <row r="186" spans="1:9" x14ac:dyDescent="0.2">
      <c r="A186" s="2">
        <v>45742</v>
      </c>
      <c r="B186" s="1">
        <v>221.53</v>
      </c>
      <c r="C186">
        <f t="shared" si="8"/>
        <v>-9.9713366603807335E-3</v>
      </c>
      <c r="D186" s="2">
        <v>45742</v>
      </c>
      <c r="E186" s="3">
        <v>5712.2</v>
      </c>
      <c r="F186">
        <f t="shared" si="9"/>
        <v>-1.1219691455108281E-2</v>
      </c>
      <c r="H186">
        <f t="shared" si="10"/>
        <v>-1.0143162057206131E-2</v>
      </c>
      <c r="I186">
        <f t="shared" si="11"/>
        <v>-1.1391516851933679E-2</v>
      </c>
    </row>
    <row r="187" spans="1:9" x14ac:dyDescent="0.2">
      <c r="A187" s="2">
        <v>45743</v>
      </c>
      <c r="B187" s="1">
        <v>223.85</v>
      </c>
      <c r="C187">
        <f t="shared" si="8"/>
        <v>1.041816419239041E-2</v>
      </c>
      <c r="D187" s="2">
        <v>45743</v>
      </c>
      <c r="E187" s="3">
        <v>5693.31</v>
      </c>
      <c r="F187">
        <f t="shared" si="9"/>
        <v>-3.3124371066493626E-3</v>
      </c>
      <c r="H187">
        <f t="shared" si="10"/>
        <v>1.0246338795565012E-2</v>
      </c>
      <c r="I187">
        <f t="shared" si="11"/>
        <v>-3.4842625034747594E-3</v>
      </c>
    </row>
    <row r="188" spans="1:9" x14ac:dyDescent="0.2">
      <c r="A188" s="2">
        <v>45744</v>
      </c>
      <c r="B188" s="1">
        <v>217.9</v>
      </c>
      <c r="C188">
        <f t="shared" si="8"/>
        <v>-2.693994273640031E-2</v>
      </c>
      <c r="D188" s="2">
        <v>45744</v>
      </c>
      <c r="E188" s="3">
        <v>5580.94</v>
      </c>
      <c r="F188">
        <f t="shared" si="9"/>
        <v>-1.9934580336265845E-2</v>
      </c>
      <c r="H188">
        <f t="shared" si="10"/>
        <v>-2.7111768133225706E-2</v>
      </c>
      <c r="I188">
        <f t="shared" si="11"/>
        <v>-2.0106405733091241E-2</v>
      </c>
    </row>
    <row r="189" spans="1:9" x14ac:dyDescent="0.2">
      <c r="A189" s="2">
        <v>45747</v>
      </c>
      <c r="B189" s="1">
        <v>222.13</v>
      </c>
      <c r="C189">
        <f t="shared" si="8"/>
        <v>1.9226554118956955E-2</v>
      </c>
      <c r="D189" s="2">
        <v>45747</v>
      </c>
      <c r="E189" s="3">
        <v>5611.85</v>
      </c>
      <c r="F189">
        <f t="shared" si="9"/>
        <v>5.523212456950013E-3</v>
      </c>
      <c r="H189">
        <f t="shared" si="10"/>
        <v>1.9054728722131559E-2</v>
      </c>
      <c r="I189">
        <f t="shared" si="11"/>
        <v>5.3513870601246162E-3</v>
      </c>
    </row>
  </sheetData>
  <sortState xmlns:xlrd2="http://schemas.microsoft.com/office/spreadsheetml/2017/richdata2" ref="D2:E189">
    <sortCondition ref="D1:D189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B34B-A4ED-354D-BB5D-AA8702EB48EC}">
  <dimension ref="A1:G189"/>
  <sheetViews>
    <sheetView workbookViewId="0">
      <selection activeCell="A50" sqref="A50"/>
    </sheetView>
  </sheetViews>
  <sheetFormatPr baseColWidth="10" defaultRowHeight="16" x14ac:dyDescent="0.2"/>
  <sheetData>
    <row r="1" spans="1:7" x14ac:dyDescent="0.2">
      <c r="A1" s="1" t="s">
        <v>0</v>
      </c>
      <c r="B1" s="1" t="s">
        <v>1</v>
      </c>
      <c r="C1" t="s">
        <v>14</v>
      </c>
      <c r="D1" t="s">
        <v>15</v>
      </c>
      <c r="E1" t="s">
        <v>16</v>
      </c>
      <c r="F1" t="s">
        <v>18</v>
      </c>
      <c r="G1" t="s">
        <v>17</v>
      </c>
    </row>
    <row r="2" spans="1:7" x14ac:dyDescent="0.2">
      <c r="A2" s="2">
        <v>45474</v>
      </c>
      <c r="B2" s="1">
        <v>216.75</v>
      </c>
    </row>
    <row r="3" spans="1:7" x14ac:dyDescent="0.2">
      <c r="A3" s="2">
        <v>45475</v>
      </c>
      <c r="B3" s="1">
        <v>220.27</v>
      </c>
    </row>
    <row r="4" spans="1:7" x14ac:dyDescent="0.2">
      <c r="A4" s="2">
        <v>45476</v>
      </c>
      <c r="B4" s="1">
        <v>221.55</v>
      </c>
    </row>
    <row r="5" spans="1:7" x14ac:dyDescent="0.2">
      <c r="A5" s="2">
        <v>45478</v>
      </c>
      <c r="B5" s="1">
        <v>226.34</v>
      </c>
    </row>
    <row r="6" spans="1:7" x14ac:dyDescent="0.2">
      <c r="A6" s="2">
        <v>45481</v>
      </c>
      <c r="B6" s="1">
        <v>227.82</v>
      </c>
    </row>
    <row r="7" spans="1:7" x14ac:dyDescent="0.2">
      <c r="A7" s="2">
        <v>45482</v>
      </c>
      <c r="B7" s="1">
        <v>228.68</v>
      </c>
    </row>
    <row r="8" spans="1:7" x14ac:dyDescent="0.2">
      <c r="A8" s="2">
        <v>45483</v>
      </c>
      <c r="B8" s="1">
        <v>232.98</v>
      </c>
    </row>
    <row r="9" spans="1:7" x14ac:dyDescent="0.2">
      <c r="A9" s="2">
        <v>45484</v>
      </c>
      <c r="B9" s="1">
        <v>227.57</v>
      </c>
    </row>
    <row r="10" spans="1:7" x14ac:dyDescent="0.2">
      <c r="A10" s="2">
        <v>45485</v>
      </c>
      <c r="B10" s="1">
        <v>230.54</v>
      </c>
    </row>
    <row r="11" spans="1:7" x14ac:dyDescent="0.2">
      <c r="A11" s="2">
        <v>45488</v>
      </c>
      <c r="B11" s="1">
        <v>234.4</v>
      </c>
    </row>
    <row r="12" spans="1:7" x14ac:dyDescent="0.2">
      <c r="A12" s="2">
        <v>45489</v>
      </c>
      <c r="B12" s="1">
        <v>234.82</v>
      </c>
    </row>
    <row r="13" spans="1:7" x14ac:dyDescent="0.2">
      <c r="A13" s="2">
        <v>45490</v>
      </c>
      <c r="B13" s="1">
        <v>228.88</v>
      </c>
      <c r="C13">
        <f>AVERAGE(B2:B13)</f>
        <v>227.55000000000004</v>
      </c>
    </row>
    <row r="14" spans="1:7" x14ac:dyDescent="0.2">
      <c r="A14" s="2">
        <v>45491</v>
      </c>
      <c r="B14" s="1">
        <v>224.18</v>
      </c>
      <c r="C14">
        <f>(B14*(2/(12+1)))+(C13*(1-(2/(12+1))))</f>
        <v>227.0315384615385</v>
      </c>
    </row>
    <row r="15" spans="1:7" x14ac:dyDescent="0.2">
      <c r="A15" s="2">
        <v>45492</v>
      </c>
      <c r="B15" s="1">
        <v>224.31</v>
      </c>
      <c r="C15">
        <f t="shared" ref="C15:C78" si="0">(B15*(2/(12+1)))+(C14*(1-(2/(12+1))))</f>
        <v>226.6128402366864</v>
      </c>
    </row>
    <row r="16" spans="1:7" x14ac:dyDescent="0.2">
      <c r="A16" s="2">
        <v>45495</v>
      </c>
      <c r="B16" s="1">
        <v>223.96</v>
      </c>
      <c r="C16">
        <f t="shared" si="0"/>
        <v>226.20471096950388</v>
      </c>
    </row>
    <row r="17" spans="1:5" x14ac:dyDescent="0.2">
      <c r="A17" s="2">
        <v>45496</v>
      </c>
      <c r="B17" s="1">
        <v>225.01</v>
      </c>
      <c r="C17">
        <f t="shared" si="0"/>
        <v>226.0209092818879</v>
      </c>
    </row>
    <row r="18" spans="1:5" x14ac:dyDescent="0.2">
      <c r="A18" s="2">
        <v>45497</v>
      </c>
      <c r="B18" s="1">
        <v>218.54</v>
      </c>
      <c r="C18">
        <f t="shared" si="0"/>
        <v>224.87000016159743</v>
      </c>
    </row>
    <row r="19" spans="1:5" x14ac:dyDescent="0.2">
      <c r="A19" s="2">
        <v>45498</v>
      </c>
      <c r="B19" s="1">
        <v>217.49</v>
      </c>
      <c r="C19">
        <f t="shared" si="0"/>
        <v>223.73461552135169</v>
      </c>
    </row>
    <row r="20" spans="1:5" x14ac:dyDescent="0.2">
      <c r="A20" s="2">
        <v>45499</v>
      </c>
      <c r="B20" s="1">
        <v>217.96</v>
      </c>
      <c r="C20">
        <f t="shared" si="0"/>
        <v>222.84621313345144</v>
      </c>
    </row>
    <row r="21" spans="1:5" x14ac:dyDescent="0.2">
      <c r="A21" s="2">
        <v>45502</v>
      </c>
      <c r="B21" s="1">
        <v>218.24</v>
      </c>
      <c r="C21">
        <f t="shared" si="0"/>
        <v>222.1375649590743</v>
      </c>
    </row>
    <row r="22" spans="1:5" x14ac:dyDescent="0.2">
      <c r="A22" s="2">
        <v>45503</v>
      </c>
      <c r="B22" s="1">
        <v>218.8</v>
      </c>
      <c r="C22">
        <f t="shared" si="0"/>
        <v>221.62409342690901</v>
      </c>
    </row>
    <row r="23" spans="1:5" x14ac:dyDescent="0.2">
      <c r="A23" s="2">
        <v>45504</v>
      </c>
      <c r="B23" s="1">
        <v>222.08</v>
      </c>
      <c r="C23">
        <f t="shared" si="0"/>
        <v>221.69423289969222</v>
      </c>
    </row>
    <row r="24" spans="1:5" x14ac:dyDescent="0.2">
      <c r="A24" s="2">
        <v>45505</v>
      </c>
      <c r="B24" s="1">
        <v>218.36</v>
      </c>
      <c r="C24">
        <f t="shared" si="0"/>
        <v>221.18127399204727</v>
      </c>
    </row>
    <row r="25" spans="1:5" x14ac:dyDescent="0.2">
      <c r="A25" s="2">
        <v>45506</v>
      </c>
      <c r="B25" s="1">
        <v>219.86</v>
      </c>
      <c r="C25">
        <f t="shared" si="0"/>
        <v>220.97800107019384</v>
      </c>
    </row>
    <row r="26" spans="1:5" x14ac:dyDescent="0.2">
      <c r="A26" s="2">
        <v>45509</v>
      </c>
      <c r="B26" s="1">
        <v>209.27</v>
      </c>
      <c r="C26">
        <f t="shared" si="0"/>
        <v>219.17677013631788</v>
      </c>
    </row>
    <row r="27" spans="1:5" x14ac:dyDescent="0.2">
      <c r="A27" s="2">
        <v>45510</v>
      </c>
      <c r="B27" s="1">
        <v>207.23</v>
      </c>
      <c r="C27">
        <f t="shared" si="0"/>
        <v>217.3388054999613</v>
      </c>
      <c r="D27">
        <f>AVERAGE(B2:B27)</f>
        <v>222.91884615384612</v>
      </c>
      <c r="E27">
        <f>C27-D27</f>
        <v>-5.5800406538848222</v>
      </c>
    </row>
    <row r="28" spans="1:5" x14ac:dyDescent="0.2">
      <c r="A28" s="2">
        <v>45511</v>
      </c>
      <c r="B28" s="1">
        <v>209.82</v>
      </c>
      <c r="C28">
        <f t="shared" si="0"/>
        <v>216.18206619227493</v>
      </c>
      <c r="D28">
        <f>(B28*(2/(26+1)))+(D27*(1-(2/(26+1))))</f>
        <v>221.94856125356122</v>
      </c>
      <c r="E28">
        <f t="shared" ref="E28:E91" si="1">C28-D28</f>
        <v>-5.7664950612862924</v>
      </c>
    </row>
    <row r="29" spans="1:5" x14ac:dyDescent="0.2">
      <c r="A29" s="2">
        <v>45512</v>
      </c>
      <c r="B29" s="1">
        <v>213.31</v>
      </c>
      <c r="C29">
        <f t="shared" si="0"/>
        <v>215.74020985500186</v>
      </c>
      <c r="D29">
        <f t="shared" ref="D29:D92" si="2">(B29*(2/(26+1)))+(D28*(1-(2/(26+1))))</f>
        <v>221.30866782737149</v>
      </c>
      <c r="E29">
        <f t="shared" si="1"/>
        <v>-5.5684579723696288</v>
      </c>
    </row>
    <row r="30" spans="1:5" x14ac:dyDescent="0.2">
      <c r="A30" s="2">
        <v>45513</v>
      </c>
      <c r="B30" s="1">
        <v>216.24</v>
      </c>
      <c r="C30">
        <f t="shared" si="0"/>
        <v>215.81710064654004</v>
      </c>
      <c r="D30">
        <f t="shared" si="2"/>
        <v>220.9332109512699</v>
      </c>
      <c r="E30">
        <f t="shared" si="1"/>
        <v>-5.1161103047298582</v>
      </c>
    </row>
    <row r="31" spans="1:5" x14ac:dyDescent="0.2">
      <c r="A31" s="2">
        <v>45516</v>
      </c>
      <c r="B31" s="1">
        <v>217.53</v>
      </c>
      <c r="C31">
        <f t="shared" si="0"/>
        <v>216.08062362399542</v>
      </c>
      <c r="D31">
        <f t="shared" si="2"/>
        <v>220.68112125117585</v>
      </c>
      <c r="E31">
        <f t="shared" si="1"/>
        <v>-4.600497627180431</v>
      </c>
    </row>
    <row r="32" spans="1:5" x14ac:dyDescent="0.2">
      <c r="A32" s="2">
        <v>45517</v>
      </c>
      <c r="B32" s="1">
        <v>221.27</v>
      </c>
      <c r="C32">
        <f t="shared" si="0"/>
        <v>216.87898922030382</v>
      </c>
      <c r="D32">
        <f t="shared" si="2"/>
        <v>220.7247418992369</v>
      </c>
      <c r="E32">
        <f t="shared" si="1"/>
        <v>-3.8457526789330814</v>
      </c>
    </row>
    <row r="33" spans="1:7" x14ac:dyDescent="0.2">
      <c r="A33" s="2">
        <v>45518</v>
      </c>
      <c r="B33" s="1">
        <v>221.72</v>
      </c>
      <c r="C33">
        <f t="shared" si="0"/>
        <v>217.62376010948785</v>
      </c>
      <c r="D33">
        <f t="shared" si="2"/>
        <v>220.79846472151564</v>
      </c>
      <c r="E33">
        <f t="shared" si="1"/>
        <v>-3.1747046120277957</v>
      </c>
    </row>
    <row r="34" spans="1:7" x14ac:dyDescent="0.2">
      <c r="A34" s="2">
        <v>45519</v>
      </c>
      <c r="B34" s="1">
        <v>224.72</v>
      </c>
      <c r="C34">
        <f t="shared" si="0"/>
        <v>218.71548932341281</v>
      </c>
      <c r="D34">
        <f t="shared" si="2"/>
        <v>221.08894881621819</v>
      </c>
      <c r="E34">
        <f t="shared" si="1"/>
        <v>-2.3734594928053809</v>
      </c>
    </row>
    <row r="35" spans="1:7" x14ac:dyDescent="0.2">
      <c r="A35" s="2">
        <v>45520</v>
      </c>
      <c r="B35" s="1">
        <v>226.05</v>
      </c>
      <c r="C35">
        <f t="shared" si="0"/>
        <v>219.84387558134929</v>
      </c>
      <c r="D35">
        <f t="shared" si="2"/>
        <v>221.45643408909092</v>
      </c>
      <c r="E35">
        <f t="shared" si="1"/>
        <v>-1.6125585077416247</v>
      </c>
      <c r="F35">
        <f>AVERAGE(E27:E35)</f>
        <v>-4.1820085456621019</v>
      </c>
    </row>
    <row r="36" spans="1:7" x14ac:dyDescent="0.2">
      <c r="A36" s="2">
        <v>45523</v>
      </c>
      <c r="B36" s="1">
        <v>225.89</v>
      </c>
      <c r="C36">
        <f t="shared" si="0"/>
        <v>220.77404856883402</v>
      </c>
      <c r="D36">
        <f t="shared" si="2"/>
        <v>221.7848463787879</v>
      </c>
      <c r="E36">
        <f t="shared" si="1"/>
        <v>-1.0107978099538855</v>
      </c>
      <c r="F36">
        <f>(E36*(2/(9+1)))+(F35*(1-(2/(9+1))))</f>
        <v>-3.5477663985204586</v>
      </c>
      <c r="G36">
        <f>E36-F36</f>
        <v>2.5369685885665731</v>
      </c>
    </row>
    <row r="37" spans="1:7" x14ac:dyDescent="0.2">
      <c r="A37" s="2">
        <v>45524</v>
      </c>
      <c r="B37" s="1">
        <v>226.51</v>
      </c>
      <c r="C37">
        <f t="shared" si="0"/>
        <v>221.65650263516724</v>
      </c>
      <c r="D37">
        <f t="shared" si="2"/>
        <v>222.13485775813695</v>
      </c>
      <c r="E37">
        <f t="shared" si="1"/>
        <v>-0.47835512296970251</v>
      </c>
      <c r="F37">
        <f>(E37*(2/(9+1)))+(F36*(1-(2/(9+1))))</f>
        <v>-2.9338841434103076</v>
      </c>
      <c r="G37">
        <f t="shared" ref="G37:G100" si="3">E37-F37</f>
        <v>2.4555290204406051</v>
      </c>
    </row>
    <row r="38" spans="1:7" x14ac:dyDescent="0.2">
      <c r="A38" s="2">
        <v>45525</v>
      </c>
      <c r="B38" s="1">
        <v>226.4</v>
      </c>
      <c r="C38">
        <f t="shared" si="0"/>
        <v>222.38627146052613</v>
      </c>
      <c r="D38">
        <f t="shared" si="2"/>
        <v>222.45079422049716</v>
      </c>
      <c r="E38">
        <f t="shared" si="1"/>
        <v>-6.4522759971026744E-2</v>
      </c>
      <c r="F38">
        <f t="shared" ref="F38:F101" si="4">(E38*(2/(9+1)))+(F37*(1-(2/(9+1))))</f>
        <v>-2.3600118667224512</v>
      </c>
      <c r="G38">
        <f t="shared" si="3"/>
        <v>2.2954891067514245</v>
      </c>
    </row>
    <row r="39" spans="1:7" x14ac:dyDescent="0.2">
      <c r="A39" s="2">
        <v>45526</v>
      </c>
      <c r="B39" s="1">
        <v>224.53</v>
      </c>
      <c r="C39">
        <f t="shared" si="0"/>
        <v>222.71607585121444</v>
      </c>
      <c r="D39">
        <f t="shared" si="2"/>
        <v>222.60480946342329</v>
      </c>
      <c r="E39">
        <f t="shared" si="1"/>
        <v>0.11126638779114728</v>
      </c>
      <c r="F39">
        <f t="shared" si="4"/>
        <v>-1.8657562158197316</v>
      </c>
      <c r="G39">
        <f t="shared" si="3"/>
        <v>1.9770226036108789</v>
      </c>
    </row>
    <row r="40" spans="1:7" x14ac:dyDescent="0.2">
      <c r="A40" s="2">
        <v>45527</v>
      </c>
      <c r="B40" s="1">
        <v>226.84</v>
      </c>
      <c r="C40">
        <f t="shared" si="0"/>
        <v>223.35052572025836</v>
      </c>
      <c r="D40">
        <f t="shared" si="2"/>
        <v>222.9185272809475</v>
      </c>
      <c r="E40">
        <f t="shared" si="1"/>
        <v>0.43199843931085979</v>
      </c>
      <c r="F40">
        <f t="shared" si="4"/>
        <v>-1.4062052847936133</v>
      </c>
      <c r="G40">
        <f t="shared" si="3"/>
        <v>1.8382037241044731</v>
      </c>
    </row>
    <row r="41" spans="1:7" x14ac:dyDescent="0.2">
      <c r="A41" s="2">
        <v>45530</v>
      </c>
      <c r="B41" s="1">
        <v>227.18</v>
      </c>
      <c r="C41">
        <f t="shared" si="0"/>
        <v>223.93967560944938</v>
      </c>
      <c r="D41">
        <f t="shared" si="2"/>
        <v>223.23419192680325</v>
      </c>
      <c r="E41">
        <f t="shared" si="1"/>
        <v>0.70548368264613259</v>
      </c>
      <c r="F41">
        <f t="shared" si="4"/>
        <v>-0.98386749130566409</v>
      </c>
      <c r="G41">
        <f t="shared" si="3"/>
        <v>1.6893511739517968</v>
      </c>
    </row>
    <row r="42" spans="1:7" x14ac:dyDescent="0.2">
      <c r="A42" s="2">
        <v>45531</v>
      </c>
      <c r="B42" s="1">
        <v>228.03</v>
      </c>
      <c r="C42">
        <f t="shared" si="0"/>
        <v>224.5689562849187</v>
      </c>
      <c r="D42">
        <f t="shared" si="2"/>
        <v>223.58943696926227</v>
      </c>
      <c r="E42">
        <f t="shared" si="1"/>
        <v>0.97951931565643235</v>
      </c>
      <c r="F42">
        <f t="shared" si="4"/>
        <v>-0.59119012991324482</v>
      </c>
      <c r="G42">
        <f t="shared" si="3"/>
        <v>1.5707094455696771</v>
      </c>
    </row>
    <row r="43" spans="1:7" x14ac:dyDescent="0.2">
      <c r="A43" s="2">
        <v>45532</v>
      </c>
      <c r="B43" s="1">
        <v>226.49</v>
      </c>
      <c r="C43">
        <f t="shared" si="0"/>
        <v>224.86450147185428</v>
      </c>
      <c r="D43">
        <f t="shared" si="2"/>
        <v>223.80429349005766</v>
      </c>
      <c r="E43">
        <f t="shared" si="1"/>
        <v>1.0602079817966228</v>
      </c>
      <c r="F43">
        <f t="shared" si="4"/>
        <v>-0.26091050757127132</v>
      </c>
      <c r="G43">
        <f t="shared" si="3"/>
        <v>1.321118489367894</v>
      </c>
    </row>
    <row r="44" spans="1:7" x14ac:dyDescent="0.2">
      <c r="A44" s="2">
        <v>45533</v>
      </c>
      <c r="B44" s="1">
        <v>229.79</v>
      </c>
      <c r="C44">
        <f t="shared" si="0"/>
        <v>225.62227047618438</v>
      </c>
      <c r="D44">
        <f t="shared" si="2"/>
        <v>224.24767915746079</v>
      </c>
      <c r="E44">
        <f t="shared" si="1"/>
        <v>1.3745913187235885</v>
      </c>
      <c r="F44">
        <f t="shared" si="4"/>
        <v>6.6189857687700665E-2</v>
      </c>
      <c r="G44">
        <f t="shared" si="3"/>
        <v>1.3084014610358878</v>
      </c>
    </row>
    <row r="45" spans="1:7" x14ac:dyDescent="0.2">
      <c r="A45" s="2">
        <v>45534</v>
      </c>
      <c r="B45" s="1">
        <v>229</v>
      </c>
      <c r="C45">
        <f t="shared" si="0"/>
        <v>226.141921172156</v>
      </c>
      <c r="D45">
        <f t="shared" si="2"/>
        <v>224.5997029235748</v>
      </c>
      <c r="E45">
        <f t="shared" si="1"/>
        <v>1.5422182485812073</v>
      </c>
      <c r="F45">
        <f t="shared" si="4"/>
        <v>0.36139553586640205</v>
      </c>
      <c r="G45">
        <f t="shared" si="3"/>
        <v>1.1808227127148052</v>
      </c>
    </row>
    <row r="46" spans="1:7" x14ac:dyDescent="0.2">
      <c r="A46" s="2">
        <v>45538</v>
      </c>
      <c r="B46" s="1">
        <v>222.77</v>
      </c>
      <c r="C46">
        <f t="shared" si="0"/>
        <v>225.62316406874737</v>
      </c>
      <c r="D46">
        <f t="shared" si="2"/>
        <v>224.46416937368036</v>
      </c>
      <c r="E46">
        <f t="shared" si="1"/>
        <v>1.1589946950670083</v>
      </c>
      <c r="F46">
        <f t="shared" si="4"/>
        <v>0.52091536770652325</v>
      </c>
      <c r="G46">
        <f t="shared" si="3"/>
        <v>0.638079327360485</v>
      </c>
    </row>
    <row r="47" spans="1:7" x14ac:dyDescent="0.2">
      <c r="A47" s="2">
        <v>45539</v>
      </c>
      <c r="B47" s="1">
        <v>220.85</v>
      </c>
      <c r="C47">
        <f t="shared" si="0"/>
        <v>224.88883113509391</v>
      </c>
      <c r="D47">
        <f t="shared" si="2"/>
        <v>224.19645312377813</v>
      </c>
      <c r="E47">
        <f t="shared" si="1"/>
        <v>0.69237801131578181</v>
      </c>
      <c r="F47">
        <f t="shared" si="4"/>
        <v>0.55520789642837498</v>
      </c>
      <c r="G47">
        <f t="shared" si="3"/>
        <v>0.13717011488740682</v>
      </c>
    </row>
    <row r="48" spans="1:7" x14ac:dyDescent="0.2">
      <c r="A48" s="2">
        <v>45540</v>
      </c>
      <c r="B48" s="1">
        <v>222.38</v>
      </c>
      <c r="C48">
        <f t="shared" si="0"/>
        <v>224.50285711431022</v>
      </c>
      <c r="D48">
        <f t="shared" si="2"/>
        <v>224.0619010405353</v>
      </c>
      <c r="E48">
        <f t="shared" si="1"/>
        <v>0.44095607377491319</v>
      </c>
      <c r="F48">
        <f t="shared" si="4"/>
        <v>0.53235753189768265</v>
      </c>
      <c r="G48">
        <f t="shared" si="3"/>
        <v>-9.1401458122769452E-2</v>
      </c>
    </row>
    <row r="49" spans="1:7" x14ac:dyDescent="0.2">
      <c r="A49" s="2">
        <v>45541</v>
      </c>
      <c r="B49" s="1">
        <v>220.82</v>
      </c>
      <c r="C49">
        <f t="shared" si="0"/>
        <v>223.93626371210865</v>
      </c>
      <c r="D49">
        <f t="shared" si="2"/>
        <v>223.82176022271787</v>
      </c>
      <c r="E49">
        <f t="shared" si="1"/>
        <v>0.11450348939078481</v>
      </c>
      <c r="F49">
        <f t="shared" si="4"/>
        <v>0.4487867233963031</v>
      </c>
      <c r="G49">
        <f t="shared" si="3"/>
        <v>-0.33428323400551829</v>
      </c>
    </row>
    <row r="50" spans="1:7" x14ac:dyDescent="0.2">
      <c r="A50" s="2">
        <v>45544</v>
      </c>
      <c r="B50" s="1">
        <v>220.91</v>
      </c>
      <c r="C50">
        <f t="shared" si="0"/>
        <v>223.47068467947656</v>
      </c>
      <c r="D50">
        <f t="shared" si="2"/>
        <v>223.60607428029431</v>
      </c>
      <c r="E50">
        <f t="shared" si="1"/>
        <v>-0.13538960081774576</v>
      </c>
      <c r="F50">
        <f t="shared" si="4"/>
        <v>0.33195145855349334</v>
      </c>
      <c r="G50">
        <f t="shared" si="3"/>
        <v>-0.4673410593712391</v>
      </c>
    </row>
    <row r="51" spans="1:7" x14ac:dyDescent="0.2">
      <c r="A51" s="2">
        <v>45545</v>
      </c>
      <c r="B51" s="1">
        <v>220.11</v>
      </c>
      <c r="C51">
        <f t="shared" si="0"/>
        <v>222.95365626724941</v>
      </c>
      <c r="D51">
        <f t="shared" si="2"/>
        <v>223.34710581508733</v>
      </c>
      <c r="E51">
        <f t="shared" si="1"/>
        <v>-0.39344954783791763</v>
      </c>
      <c r="F51">
        <f t="shared" si="4"/>
        <v>0.18687125727521114</v>
      </c>
      <c r="G51">
        <f t="shared" si="3"/>
        <v>-0.58032080511312878</v>
      </c>
    </row>
    <row r="52" spans="1:7" x14ac:dyDescent="0.2">
      <c r="A52" s="2">
        <v>45546</v>
      </c>
      <c r="B52" s="1">
        <v>222.66</v>
      </c>
      <c r="C52">
        <f t="shared" si="0"/>
        <v>222.90847837998029</v>
      </c>
      <c r="D52">
        <f t="shared" si="2"/>
        <v>223.29620908804384</v>
      </c>
      <c r="E52">
        <f t="shared" si="1"/>
        <v>-0.38773070806354326</v>
      </c>
      <c r="F52">
        <f t="shared" si="4"/>
        <v>7.1950864207460261E-2</v>
      </c>
      <c r="G52">
        <f t="shared" si="3"/>
        <v>-0.45968157227100354</v>
      </c>
    </row>
    <row r="53" spans="1:7" x14ac:dyDescent="0.2">
      <c r="A53" s="2">
        <v>45547</v>
      </c>
      <c r="B53" s="1">
        <v>222.77</v>
      </c>
      <c r="C53">
        <f t="shared" si="0"/>
        <v>222.88717401382948</v>
      </c>
      <c r="D53">
        <f t="shared" si="2"/>
        <v>223.25723063707761</v>
      </c>
      <c r="E53">
        <f t="shared" si="1"/>
        <v>-0.37005662324813215</v>
      </c>
      <c r="F53">
        <f t="shared" si="4"/>
        <v>-1.6450633283658228E-2</v>
      </c>
      <c r="G53">
        <f t="shared" si="3"/>
        <v>-0.3536059899644739</v>
      </c>
    </row>
    <row r="54" spans="1:7" x14ac:dyDescent="0.2">
      <c r="A54" s="2">
        <v>45548</v>
      </c>
      <c r="B54" s="1">
        <v>222.5</v>
      </c>
      <c r="C54">
        <f t="shared" si="0"/>
        <v>222.82760878093262</v>
      </c>
      <c r="D54">
        <f t="shared" si="2"/>
        <v>223.20113947877559</v>
      </c>
      <c r="E54">
        <f t="shared" si="1"/>
        <v>-0.37353069784296622</v>
      </c>
      <c r="F54">
        <f t="shared" si="4"/>
        <v>-8.7866646195519829E-2</v>
      </c>
      <c r="G54">
        <f t="shared" si="3"/>
        <v>-0.2856640516474464</v>
      </c>
    </row>
    <row r="55" spans="1:7" x14ac:dyDescent="0.2">
      <c r="A55" s="2">
        <v>45551</v>
      </c>
      <c r="B55" s="1">
        <v>216.32</v>
      </c>
      <c r="C55">
        <f t="shared" si="0"/>
        <v>221.82643819925067</v>
      </c>
      <c r="D55">
        <f t="shared" si="2"/>
        <v>222.69142544331072</v>
      </c>
      <c r="E55">
        <f t="shared" si="1"/>
        <v>-0.86498724406004612</v>
      </c>
      <c r="F55">
        <f t="shared" si="4"/>
        <v>-0.24329076576842512</v>
      </c>
      <c r="G55">
        <f t="shared" si="3"/>
        <v>-0.621696478291621</v>
      </c>
    </row>
    <row r="56" spans="1:7" x14ac:dyDescent="0.2">
      <c r="A56" s="2">
        <v>45552</v>
      </c>
      <c r="B56" s="1">
        <v>216.79</v>
      </c>
      <c r="C56">
        <f t="shared" si="0"/>
        <v>221.05160155321209</v>
      </c>
      <c r="D56">
        <f t="shared" si="2"/>
        <v>222.25428281788029</v>
      </c>
      <c r="E56">
        <f t="shared" si="1"/>
        <v>-1.2026812646682004</v>
      </c>
      <c r="F56">
        <f t="shared" si="4"/>
        <v>-0.43516886554838019</v>
      </c>
      <c r="G56">
        <f t="shared" si="3"/>
        <v>-0.76751239911982017</v>
      </c>
    </row>
    <row r="57" spans="1:7" x14ac:dyDescent="0.2">
      <c r="A57" s="2">
        <v>45553</v>
      </c>
      <c r="B57" s="1">
        <v>220.69</v>
      </c>
      <c r="C57">
        <f t="shared" si="0"/>
        <v>220.99597054502561</v>
      </c>
      <c r="D57">
        <f t="shared" si="2"/>
        <v>222.13841001655584</v>
      </c>
      <c r="E57">
        <f t="shared" si="1"/>
        <v>-1.1424394715302242</v>
      </c>
      <c r="F57">
        <f t="shared" si="4"/>
        <v>-0.57662298674474899</v>
      </c>
      <c r="G57">
        <f t="shared" si="3"/>
        <v>-0.56581648478547519</v>
      </c>
    </row>
    <row r="58" spans="1:7" x14ac:dyDescent="0.2">
      <c r="A58" s="2">
        <v>45554</v>
      </c>
      <c r="B58" s="1">
        <v>228.87</v>
      </c>
      <c r="C58">
        <f t="shared" si="0"/>
        <v>222.20735969194476</v>
      </c>
      <c r="D58">
        <f t="shared" si="2"/>
        <v>222.6370463116258</v>
      </c>
      <c r="E58">
        <f t="shared" si="1"/>
        <v>-0.42968661968103561</v>
      </c>
      <c r="F58">
        <f t="shared" si="4"/>
        <v>-0.54723571333200627</v>
      </c>
      <c r="G58">
        <f t="shared" si="3"/>
        <v>0.11754909365097066</v>
      </c>
    </row>
    <row r="59" spans="1:7" x14ac:dyDescent="0.2">
      <c r="A59" s="2">
        <v>45555</v>
      </c>
      <c r="B59" s="1">
        <v>228.2</v>
      </c>
      <c r="C59">
        <f t="shared" si="0"/>
        <v>223.12930435472248</v>
      </c>
      <c r="D59">
        <f t="shared" si="2"/>
        <v>223.04911695520909</v>
      </c>
      <c r="E59">
        <f t="shared" si="1"/>
        <v>8.0187399513391711E-2</v>
      </c>
      <c r="F59">
        <f t="shared" si="4"/>
        <v>-0.42175109076292672</v>
      </c>
      <c r="G59">
        <f t="shared" si="3"/>
        <v>0.50193849027631843</v>
      </c>
    </row>
    <row r="60" spans="1:7" x14ac:dyDescent="0.2">
      <c r="A60" s="2">
        <v>45558</v>
      </c>
      <c r="B60" s="1">
        <v>226.47</v>
      </c>
      <c r="C60">
        <f t="shared" si="0"/>
        <v>223.64325753091902</v>
      </c>
      <c r="D60">
        <f t="shared" si="2"/>
        <v>223.3025156992677</v>
      </c>
      <c r="E60">
        <f t="shared" si="1"/>
        <v>0.34074183165131444</v>
      </c>
      <c r="F60">
        <f t="shared" si="4"/>
        <v>-0.26925250628007852</v>
      </c>
      <c r="G60">
        <f t="shared" si="3"/>
        <v>0.60999433793139302</v>
      </c>
    </row>
    <row r="61" spans="1:7" x14ac:dyDescent="0.2">
      <c r="A61" s="2">
        <v>45559</v>
      </c>
      <c r="B61" s="1">
        <v>227.37</v>
      </c>
      <c r="C61">
        <f t="shared" si="0"/>
        <v>224.21660252616226</v>
      </c>
      <c r="D61">
        <f t="shared" si="2"/>
        <v>223.60381083265528</v>
      </c>
      <c r="E61">
        <f t="shared" si="1"/>
        <v>0.61279169350697771</v>
      </c>
      <c r="F61">
        <f t="shared" si="4"/>
        <v>-9.2843666322667273E-2</v>
      </c>
      <c r="G61">
        <f t="shared" si="3"/>
        <v>0.70563535982964498</v>
      </c>
    </row>
    <row r="62" spans="1:7" x14ac:dyDescent="0.2">
      <c r="A62" s="2">
        <v>45560</v>
      </c>
      <c r="B62" s="1">
        <v>226.37</v>
      </c>
      <c r="C62">
        <f t="shared" si="0"/>
        <v>224.54789444521424</v>
      </c>
      <c r="D62">
        <f t="shared" si="2"/>
        <v>223.8087137339401</v>
      </c>
      <c r="E62">
        <f t="shared" si="1"/>
        <v>0.73918071127414464</v>
      </c>
      <c r="F62">
        <f t="shared" si="4"/>
        <v>7.3561209196695121E-2</v>
      </c>
      <c r="G62">
        <f t="shared" si="3"/>
        <v>0.66561950207744958</v>
      </c>
    </row>
    <row r="63" spans="1:7" x14ac:dyDescent="0.2">
      <c r="A63" s="2">
        <v>45561</v>
      </c>
      <c r="B63" s="1">
        <v>227.52</v>
      </c>
      <c r="C63">
        <f t="shared" si="0"/>
        <v>225.00514145364281</v>
      </c>
      <c r="D63">
        <f t="shared" si="2"/>
        <v>224.08362382772231</v>
      </c>
      <c r="E63">
        <f t="shared" si="1"/>
        <v>0.9215176259205009</v>
      </c>
      <c r="F63">
        <f t="shared" si="4"/>
        <v>0.24315249254145629</v>
      </c>
      <c r="G63">
        <f t="shared" si="3"/>
        <v>0.67836513337904458</v>
      </c>
    </row>
    <row r="64" spans="1:7" x14ac:dyDescent="0.2">
      <c r="A64" s="2">
        <v>45562</v>
      </c>
      <c r="B64" s="1">
        <v>227.79</v>
      </c>
      <c r="C64">
        <f t="shared" si="0"/>
        <v>225.43358123000544</v>
      </c>
      <c r="D64">
        <f t="shared" si="2"/>
        <v>224.35817021085398</v>
      </c>
      <c r="E64">
        <f t="shared" si="1"/>
        <v>1.0754110191514599</v>
      </c>
      <c r="F64">
        <f t="shared" si="4"/>
        <v>0.40960419786345703</v>
      </c>
      <c r="G64">
        <f t="shared" si="3"/>
        <v>0.66580682128800284</v>
      </c>
    </row>
    <row r="65" spans="1:7" x14ac:dyDescent="0.2">
      <c r="A65" s="2">
        <v>45565</v>
      </c>
      <c r="B65" s="1">
        <v>233</v>
      </c>
      <c r="C65">
        <f t="shared" si="0"/>
        <v>226.59764565615845</v>
      </c>
      <c r="D65">
        <f t="shared" si="2"/>
        <v>224.99830575079073</v>
      </c>
      <c r="E65">
        <f t="shared" si="1"/>
        <v>1.5993399053677138</v>
      </c>
      <c r="F65">
        <f t="shared" si="4"/>
        <v>0.64755133936430842</v>
      </c>
      <c r="G65">
        <f t="shared" si="3"/>
        <v>0.95178856600340533</v>
      </c>
    </row>
    <row r="66" spans="1:7" x14ac:dyDescent="0.2">
      <c r="A66" s="2">
        <v>45566</v>
      </c>
      <c r="B66" s="1">
        <v>226.21</v>
      </c>
      <c r="C66">
        <f t="shared" si="0"/>
        <v>226.5380078629033</v>
      </c>
      <c r="D66">
        <f t="shared" si="2"/>
        <v>225.08806088036178</v>
      </c>
      <c r="E66">
        <f t="shared" si="1"/>
        <v>1.449946982541519</v>
      </c>
      <c r="F66">
        <f t="shared" si="4"/>
        <v>0.80803046799975053</v>
      </c>
      <c r="G66">
        <f t="shared" si="3"/>
        <v>0.64191651454176846</v>
      </c>
    </row>
    <row r="67" spans="1:7" x14ac:dyDescent="0.2">
      <c r="A67" s="2">
        <v>45567</v>
      </c>
      <c r="B67" s="1">
        <v>226.78</v>
      </c>
      <c r="C67">
        <f t="shared" si="0"/>
        <v>226.57523742245664</v>
      </c>
      <c r="D67">
        <f t="shared" si="2"/>
        <v>225.21338970403866</v>
      </c>
      <c r="E67">
        <f t="shared" si="1"/>
        <v>1.3618477184179767</v>
      </c>
      <c r="F67">
        <f t="shared" si="4"/>
        <v>0.91879391808339583</v>
      </c>
      <c r="G67">
        <f t="shared" si="3"/>
        <v>0.44305380033458086</v>
      </c>
    </row>
    <row r="68" spans="1:7" x14ac:dyDescent="0.2">
      <c r="A68" s="2">
        <v>45568</v>
      </c>
      <c r="B68" s="1">
        <v>225.67</v>
      </c>
      <c r="C68">
        <f t="shared" si="0"/>
        <v>226.43597012669409</v>
      </c>
      <c r="D68">
        <f t="shared" si="2"/>
        <v>225.24721268892469</v>
      </c>
      <c r="E68">
        <f t="shared" si="1"/>
        <v>1.1887574377693966</v>
      </c>
      <c r="F68">
        <f t="shared" si="4"/>
        <v>0.97278662202059607</v>
      </c>
      <c r="G68">
        <f t="shared" si="3"/>
        <v>0.2159708157488005</v>
      </c>
    </row>
    <row r="69" spans="1:7" x14ac:dyDescent="0.2">
      <c r="A69" s="2">
        <v>45569</v>
      </c>
      <c r="B69" s="1">
        <v>226.8</v>
      </c>
      <c r="C69">
        <f t="shared" si="0"/>
        <v>226.49197472258732</v>
      </c>
      <c r="D69">
        <f t="shared" si="2"/>
        <v>225.36223397122657</v>
      </c>
      <c r="E69">
        <f t="shared" si="1"/>
        <v>1.1297407513607425</v>
      </c>
      <c r="F69">
        <f t="shared" si="4"/>
        <v>1.0041774478886254</v>
      </c>
      <c r="G69">
        <f t="shared" si="3"/>
        <v>0.12556330347211708</v>
      </c>
    </row>
    <row r="70" spans="1:7" x14ac:dyDescent="0.2">
      <c r="A70" s="2">
        <v>45572</v>
      </c>
      <c r="B70" s="1">
        <v>221.69</v>
      </c>
      <c r="C70">
        <f t="shared" si="0"/>
        <v>225.75320938065079</v>
      </c>
      <c r="D70">
        <f t="shared" si="2"/>
        <v>225.09021664002461</v>
      </c>
      <c r="E70">
        <f t="shared" si="1"/>
        <v>0.66299274062617997</v>
      </c>
      <c r="F70">
        <f t="shared" si="4"/>
        <v>0.93594050643613635</v>
      </c>
      <c r="G70">
        <f t="shared" si="3"/>
        <v>-0.27294776580995639</v>
      </c>
    </row>
    <row r="71" spans="1:7" x14ac:dyDescent="0.2">
      <c r="A71" s="2">
        <v>45573</v>
      </c>
      <c r="B71" s="1">
        <v>225.77</v>
      </c>
      <c r="C71">
        <f t="shared" si="0"/>
        <v>225.75579255285834</v>
      </c>
      <c r="D71">
        <f t="shared" si="2"/>
        <v>225.14057096298575</v>
      </c>
      <c r="E71">
        <f t="shared" si="1"/>
        <v>0.6152215898725899</v>
      </c>
      <c r="F71">
        <f t="shared" si="4"/>
        <v>0.87179672312342715</v>
      </c>
      <c r="G71">
        <f t="shared" si="3"/>
        <v>-0.25657513325083725</v>
      </c>
    </row>
    <row r="72" spans="1:7" x14ac:dyDescent="0.2">
      <c r="A72" s="2">
        <v>45574</v>
      </c>
      <c r="B72" s="1">
        <v>229.54</v>
      </c>
      <c r="C72">
        <f t="shared" si="0"/>
        <v>226.33797831395705</v>
      </c>
      <c r="D72">
        <f t="shared" si="2"/>
        <v>225.46645459535716</v>
      </c>
      <c r="E72">
        <f t="shared" si="1"/>
        <v>0.87152371859988875</v>
      </c>
      <c r="F72">
        <f t="shared" si="4"/>
        <v>0.8717421222187195</v>
      </c>
      <c r="G72">
        <f t="shared" si="3"/>
        <v>-2.1840361883074255E-4</v>
      </c>
    </row>
    <row r="73" spans="1:7" x14ac:dyDescent="0.2">
      <c r="A73" s="2">
        <v>45575</v>
      </c>
      <c r="B73" s="1">
        <v>229.04</v>
      </c>
      <c r="C73">
        <f t="shared" si="0"/>
        <v>226.75367395796366</v>
      </c>
      <c r="D73">
        <f t="shared" si="2"/>
        <v>225.73116166236773</v>
      </c>
      <c r="E73">
        <f t="shared" si="1"/>
        <v>1.0225122955959307</v>
      </c>
      <c r="F73">
        <f t="shared" si="4"/>
        <v>0.9018961568941618</v>
      </c>
      <c r="G73">
        <f t="shared" si="3"/>
        <v>0.1206161387017689</v>
      </c>
    </row>
    <row r="74" spans="1:7" x14ac:dyDescent="0.2">
      <c r="A74" s="2">
        <v>45576</v>
      </c>
      <c r="B74" s="1">
        <v>227.55</v>
      </c>
      <c r="C74">
        <f t="shared" si="0"/>
        <v>226.87618565673847</v>
      </c>
      <c r="D74">
        <f t="shared" si="2"/>
        <v>225.86589042811826</v>
      </c>
      <c r="E74">
        <f t="shared" si="1"/>
        <v>1.0102952286202083</v>
      </c>
      <c r="F74">
        <f t="shared" si="4"/>
        <v>0.92357597123937119</v>
      </c>
      <c r="G74">
        <f t="shared" si="3"/>
        <v>8.6719257380837078E-2</v>
      </c>
    </row>
    <row r="75" spans="1:7" x14ac:dyDescent="0.2">
      <c r="A75" s="2">
        <v>45579</v>
      </c>
      <c r="B75" s="1">
        <v>231.3</v>
      </c>
      <c r="C75">
        <f t="shared" si="0"/>
        <v>227.55677247877873</v>
      </c>
      <c r="D75">
        <f t="shared" si="2"/>
        <v>226.26841706307246</v>
      </c>
      <c r="E75">
        <f t="shared" si="1"/>
        <v>1.2883554157062633</v>
      </c>
      <c r="F75">
        <f t="shared" si="4"/>
        <v>0.99653186013274975</v>
      </c>
      <c r="G75">
        <f t="shared" si="3"/>
        <v>0.29182355557351358</v>
      </c>
    </row>
    <row r="76" spans="1:7" x14ac:dyDescent="0.2">
      <c r="A76" s="2">
        <v>45580</v>
      </c>
      <c r="B76" s="1">
        <v>233.85</v>
      </c>
      <c r="C76">
        <f t="shared" si="0"/>
        <v>228.52496132819738</v>
      </c>
      <c r="D76">
        <f t="shared" si="2"/>
        <v>226.83001579914117</v>
      </c>
      <c r="E76">
        <f t="shared" si="1"/>
        <v>1.6949455290562128</v>
      </c>
      <c r="F76">
        <f t="shared" si="4"/>
        <v>1.1362145939174424</v>
      </c>
      <c r="G76">
        <f t="shared" si="3"/>
        <v>0.55873093513877037</v>
      </c>
    </row>
    <row r="77" spans="1:7" x14ac:dyDescent="0.2">
      <c r="A77" s="2">
        <v>45581</v>
      </c>
      <c r="B77" s="1">
        <v>231.78</v>
      </c>
      <c r="C77">
        <f t="shared" si="0"/>
        <v>229.02573650847472</v>
      </c>
      <c r="D77">
        <f t="shared" si="2"/>
        <v>227.19668129550107</v>
      </c>
      <c r="E77">
        <f t="shared" si="1"/>
        <v>1.8290552129736568</v>
      </c>
      <c r="F77">
        <f t="shared" si="4"/>
        <v>1.2747827177286855</v>
      </c>
      <c r="G77">
        <f t="shared" si="3"/>
        <v>0.55427249524497135</v>
      </c>
    </row>
    <row r="78" spans="1:7" x14ac:dyDescent="0.2">
      <c r="A78" s="2">
        <v>45582</v>
      </c>
      <c r="B78" s="1">
        <v>232.15</v>
      </c>
      <c r="C78">
        <f t="shared" si="0"/>
        <v>229.50639243024784</v>
      </c>
      <c r="D78">
        <f t="shared" si="2"/>
        <v>227.56359379213063</v>
      </c>
      <c r="E78">
        <f t="shared" si="1"/>
        <v>1.9427986381172104</v>
      </c>
      <c r="F78">
        <f t="shared" si="4"/>
        <v>1.4083859018063905</v>
      </c>
      <c r="G78">
        <f t="shared" si="3"/>
        <v>0.53441273631081998</v>
      </c>
    </row>
    <row r="79" spans="1:7" x14ac:dyDescent="0.2">
      <c r="A79" s="2">
        <v>45583</v>
      </c>
      <c r="B79" s="1">
        <v>235</v>
      </c>
      <c r="C79">
        <f t="shared" ref="C79:C142" si="5">(B79*(2/(12+1)))+(C78*(1-(2/(12+1))))</f>
        <v>230.35156282559433</v>
      </c>
      <c r="D79">
        <f t="shared" si="2"/>
        <v>228.11443869641727</v>
      </c>
      <c r="E79">
        <f t="shared" si="1"/>
        <v>2.2371241291770616</v>
      </c>
      <c r="F79">
        <f t="shared" si="4"/>
        <v>1.5741335472805247</v>
      </c>
      <c r="G79">
        <f t="shared" si="3"/>
        <v>0.66299058189653692</v>
      </c>
    </row>
    <row r="80" spans="1:7" x14ac:dyDescent="0.2">
      <c r="A80" s="2">
        <v>45586</v>
      </c>
      <c r="B80" s="1">
        <v>236.48</v>
      </c>
      <c r="C80">
        <f t="shared" si="5"/>
        <v>231.29439931396445</v>
      </c>
      <c r="D80">
        <f t="shared" si="2"/>
        <v>228.73410990409005</v>
      </c>
      <c r="E80">
        <f t="shared" si="1"/>
        <v>2.5602894098744002</v>
      </c>
      <c r="F80">
        <f t="shared" si="4"/>
        <v>1.7713647197992999</v>
      </c>
      <c r="G80">
        <f t="shared" si="3"/>
        <v>0.78892469007510035</v>
      </c>
    </row>
    <row r="81" spans="1:7" x14ac:dyDescent="0.2">
      <c r="A81" s="2">
        <v>45587</v>
      </c>
      <c r="B81" s="1">
        <v>235.86</v>
      </c>
      <c r="C81">
        <f t="shared" si="5"/>
        <v>231.99679941950836</v>
      </c>
      <c r="D81">
        <f t="shared" si="2"/>
        <v>229.26195361489818</v>
      </c>
      <c r="E81">
        <f t="shared" si="1"/>
        <v>2.7348458046101882</v>
      </c>
      <c r="F81">
        <f t="shared" si="4"/>
        <v>1.9640609367614776</v>
      </c>
      <c r="G81">
        <f t="shared" si="3"/>
        <v>0.77078486784871059</v>
      </c>
    </row>
    <row r="82" spans="1:7" x14ac:dyDescent="0.2">
      <c r="A82" s="2">
        <v>45588</v>
      </c>
      <c r="B82" s="1">
        <v>230.76</v>
      </c>
      <c r="C82">
        <f t="shared" si="5"/>
        <v>231.80652258573787</v>
      </c>
      <c r="D82">
        <f t="shared" si="2"/>
        <v>229.37292001379461</v>
      </c>
      <c r="E82">
        <f t="shared" si="1"/>
        <v>2.4336025719432541</v>
      </c>
      <c r="F82">
        <f t="shared" si="4"/>
        <v>2.0579692637978333</v>
      </c>
      <c r="G82">
        <f t="shared" si="3"/>
        <v>0.37563330814542084</v>
      </c>
    </row>
    <row r="83" spans="1:7" x14ac:dyDescent="0.2">
      <c r="A83" s="2">
        <v>45589</v>
      </c>
      <c r="B83" s="1">
        <v>230.57</v>
      </c>
      <c r="C83">
        <f t="shared" si="5"/>
        <v>231.61628834177822</v>
      </c>
      <c r="D83">
        <f t="shared" si="2"/>
        <v>229.46159260536538</v>
      </c>
      <c r="E83">
        <f t="shared" si="1"/>
        <v>2.1546957364128332</v>
      </c>
      <c r="F83">
        <f t="shared" si="4"/>
        <v>2.0773145583208334</v>
      </c>
      <c r="G83">
        <f t="shared" si="3"/>
        <v>7.7381178091999736E-2</v>
      </c>
    </row>
    <row r="84" spans="1:7" x14ac:dyDescent="0.2">
      <c r="A84" s="2">
        <v>45590</v>
      </c>
      <c r="B84" s="1">
        <v>231.41</v>
      </c>
      <c r="C84">
        <f t="shared" si="5"/>
        <v>231.58455167381234</v>
      </c>
      <c r="D84">
        <f t="shared" si="2"/>
        <v>229.60591907904202</v>
      </c>
      <c r="E84">
        <f t="shared" si="1"/>
        <v>1.9786325947703176</v>
      </c>
      <c r="F84">
        <f t="shared" si="4"/>
        <v>2.0575781656107304</v>
      </c>
      <c r="G84">
        <f t="shared" si="3"/>
        <v>-7.894557084041276E-2</v>
      </c>
    </row>
    <row r="85" spans="1:7" x14ac:dyDescent="0.2">
      <c r="A85" s="2">
        <v>45593</v>
      </c>
      <c r="B85" s="1">
        <v>233.4</v>
      </c>
      <c r="C85">
        <f t="shared" si="5"/>
        <v>231.86385141630277</v>
      </c>
      <c r="D85">
        <f t="shared" si="2"/>
        <v>229.88696211022409</v>
      </c>
      <c r="E85">
        <f t="shared" si="1"/>
        <v>1.9768893060786752</v>
      </c>
      <c r="F85">
        <f t="shared" si="4"/>
        <v>2.0414403937043195</v>
      </c>
      <c r="G85">
        <f t="shared" si="3"/>
        <v>-6.4551087625644321E-2</v>
      </c>
    </row>
    <row r="86" spans="1:7" x14ac:dyDescent="0.2">
      <c r="A86" s="2">
        <v>45594</v>
      </c>
      <c r="B86" s="1">
        <v>233.67</v>
      </c>
      <c r="C86">
        <f t="shared" si="5"/>
        <v>232.14172042917926</v>
      </c>
      <c r="D86">
        <f t="shared" si="2"/>
        <v>230.16718713909637</v>
      </c>
      <c r="E86">
        <f t="shared" si="1"/>
        <v>1.9745332900828885</v>
      </c>
      <c r="F86">
        <f t="shared" si="4"/>
        <v>2.0280589729800336</v>
      </c>
      <c r="G86">
        <f t="shared" si="3"/>
        <v>-5.3525682897145099E-2</v>
      </c>
    </row>
    <row r="87" spans="1:7" x14ac:dyDescent="0.2">
      <c r="A87" s="2">
        <v>45595</v>
      </c>
      <c r="B87" s="1">
        <v>230.1</v>
      </c>
      <c r="C87">
        <f t="shared" si="5"/>
        <v>231.82760959392093</v>
      </c>
      <c r="D87">
        <f t="shared" si="2"/>
        <v>230.16221031397814</v>
      </c>
      <c r="E87">
        <f t="shared" si="1"/>
        <v>1.6653992799427897</v>
      </c>
      <c r="F87">
        <f t="shared" si="4"/>
        <v>1.9555270343725848</v>
      </c>
      <c r="G87">
        <f t="shared" si="3"/>
        <v>-0.2901277544297951</v>
      </c>
    </row>
    <row r="88" spans="1:7" x14ac:dyDescent="0.2">
      <c r="A88" s="2">
        <v>45596</v>
      </c>
      <c r="B88" s="1">
        <v>225.91</v>
      </c>
      <c r="C88">
        <f t="shared" si="5"/>
        <v>230.91720811793311</v>
      </c>
      <c r="D88">
        <f t="shared" si="2"/>
        <v>229.84723177220198</v>
      </c>
      <c r="E88">
        <f t="shared" si="1"/>
        <v>1.0699763457311349</v>
      </c>
      <c r="F88">
        <f t="shared" si="4"/>
        <v>1.778416896644295</v>
      </c>
      <c r="G88">
        <f t="shared" si="3"/>
        <v>-0.70844055091316016</v>
      </c>
    </row>
    <row r="89" spans="1:7" x14ac:dyDescent="0.2">
      <c r="A89" s="2">
        <v>45597</v>
      </c>
      <c r="B89" s="1">
        <v>222.91</v>
      </c>
      <c r="C89">
        <f t="shared" si="5"/>
        <v>229.68532994594341</v>
      </c>
      <c r="D89">
        <f t="shared" si="2"/>
        <v>229.33336275203885</v>
      </c>
      <c r="E89">
        <f t="shared" si="1"/>
        <v>0.35196719390455655</v>
      </c>
      <c r="F89">
        <f t="shared" si="4"/>
        <v>1.4931269560963474</v>
      </c>
      <c r="G89">
        <f t="shared" si="3"/>
        <v>-1.1411597621917908</v>
      </c>
    </row>
    <row r="90" spans="1:7" x14ac:dyDescent="0.2">
      <c r="A90" s="2">
        <v>45600</v>
      </c>
      <c r="B90" s="1">
        <v>222.01</v>
      </c>
      <c r="C90">
        <f t="shared" si="5"/>
        <v>228.50450995425979</v>
      </c>
      <c r="D90">
        <f t="shared" si="2"/>
        <v>228.79089143707301</v>
      </c>
      <c r="E90">
        <f t="shared" si="1"/>
        <v>-0.28638148281322628</v>
      </c>
      <c r="F90">
        <f t="shared" si="4"/>
        <v>1.1372252683144328</v>
      </c>
      <c r="G90">
        <f t="shared" si="3"/>
        <v>-1.4236067511276591</v>
      </c>
    </row>
    <row r="91" spans="1:7" x14ac:dyDescent="0.2">
      <c r="A91" s="2">
        <v>45601</v>
      </c>
      <c r="B91" s="1">
        <v>223.45</v>
      </c>
      <c r="C91">
        <f t="shared" si="5"/>
        <v>227.72689303821983</v>
      </c>
      <c r="D91">
        <f t="shared" si="2"/>
        <v>228.3952698491417</v>
      </c>
      <c r="E91">
        <f t="shared" si="1"/>
        <v>-0.6683768109218704</v>
      </c>
      <c r="F91">
        <f t="shared" si="4"/>
        <v>0.77610485246717231</v>
      </c>
      <c r="G91">
        <f t="shared" si="3"/>
        <v>-1.4444816633890427</v>
      </c>
    </row>
    <row r="92" spans="1:7" x14ac:dyDescent="0.2">
      <c r="A92" s="2">
        <v>45602</v>
      </c>
      <c r="B92" s="1">
        <v>222.72</v>
      </c>
      <c r="C92">
        <f t="shared" si="5"/>
        <v>226.95660180157063</v>
      </c>
      <c r="D92">
        <f t="shared" si="2"/>
        <v>227.97487948994601</v>
      </c>
      <c r="E92">
        <f t="shared" ref="E92:E155" si="6">C92-D92</f>
        <v>-1.0182776883753775</v>
      </c>
      <c r="F92">
        <f t="shared" si="4"/>
        <v>0.4172283442986624</v>
      </c>
      <c r="G92">
        <f t="shared" si="3"/>
        <v>-1.4355060326740399</v>
      </c>
    </row>
    <row r="93" spans="1:7" x14ac:dyDescent="0.2">
      <c r="A93" s="2">
        <v>45603</v>
      </c>
      <c r="B93" s="1">
        <v>227.48</v>
      </c>
      <c r="C93">
        <f t="shared" si="5"/>
        <v>227.037124601329</v>
      </c>
      <c r="D93">
        <f t="shared" ref="D93:D156" si="7">(B93*(2/(26+1)))+(D92*(1-(2/(26+1))))</f>
        <v>227.93822174995</v>
      </c>
      <c r="E93">
        <f t="shared" si="6"/>
        <v>-0.90109714862100532</v>
      </c>
      <c r="F93">
        <f t="shared" si="4"/>
        <v>0.15356324571472885</v>
      </c>
      <c r="G93">
        <f t="shared" si="3"/>
        <v>-1.0546603943357342</v>
      </c>
    </row>
    <row r="94" spans="1:7" x14ac:dyDescent="0.2">
      <c r="A94" s="2">
        <v>45604</v>
      </c>
      <c r="B94" s="1">
        <v>226.96</v>
      </c>
      <c r="C94">
        <f t="shared" si="5"/>
        <v>227.0252592780476</v>
      </c>
      <c r="D94">
        <f t="shared" si="7"/>
        <v>227.86576087958335</v>
      </c>
      <c r="E94">
        <f t="shared" si="6"/>
        <v>-0.84050160153574893</v>
      </c>
      <c r="F94">
        <f t="shared" si="4"/>
        <v>-4.5249723735366718E-2</v>
      </c>
      <c r="G94">
        <f t="shared" si="3"/>
        <v>-0.7952518778003822</v>
      </c>
    </row>
    <row r="95" spans="1:7" x14ac:dyDescent="0.2">
      <c r="A95" s="2">
        <v>45607</v>
      </c>
      <c r="B95" s="1">
        <v>224.23</v>
      </c>
      <c r="C95">
        <f t="shared" si="5"/>
        <v>226.5952193891172</v>
      </c>
      <c r="D95">
        <f t="shared" si="7"/>
        <v>227.59644525887347</v>
      </c>
      <c r="E95">
        <f t="shared" si="6"/>
        <v>-1.0012258697562686</v>
      </c>
      <c r="F95">
        <f t="shared" si="4"/>
        <v>-0.23644495293954712</v>
      </c>
      <c r="G95">
        <f t="shared" si="3"/>
        <v>-0.76478091681672145</v>
      </c>
    </row>
    <row r="96" spans="1:7" x14ac:dyDescent="0.2">
      <c r="A96" s="2">
        <v>45608</v>
      </c>
      <c r="B96" s="1">
        <v>224.23</v>
      </c>
      <c r="C96">
        <f t="shared" si="5"/>
        <v>226.23133948309916</v>
      </c>
      <c r="D96">
        <f t="shared" si="7"/>
        <v>227.34707894340139</v>
      </c>
      <c r="E96">
        <f t="shared" si="6"/>
        <v>-1.1157394603022226</v>
      </c>
      <c r="F96">
        <f t="shared" si="4"/>
        <v>-0.41230385441208223</v>
      </c>
      <c r="G96">
        <f t="shared" si="3"/>
        <v>-0.70343560589014031</v>
      </c>
    </row>
    <row r="97" spans="1:7" x14ac:dyDescent="0.2">
      <c r="A97" s="2">
        <v>45609</v>
      </c>
      <c r="B97" s="1">
        <v>225.12</v>
      </c>
      <c r="C97">
        <f t="shared" si="5"/>
        <v>226.06036417800698</v>
      </c>
      <c r="D97">
        <f t="shared" si="7"/>
        <v>227.18211013277906</v>
      </c>
      <c r="E97">
        <f t="shared" si="6"/>
        <v>-1.1217459547720807</v>
      </c>
      <c r="F97">
        <f t="shared" si="4"/>
        <v>-0.55419227448408193</v>
      </c>
      <c r="G97">
        <f t="shared" si="3"/>
        <v>-0.5675536802879988</v>
      </c>
    </row>
    <row r="98" spans="1:7" x14ac:dyDescent="0.2">
      <c r="A98" s="2">
        <v>45610</v>
      </c>
      <c r="B98" s="1">
        <v>228.22</v>
      </c>
      <c r="C98">
        <f t="shared" si="5"/>
        <v>226.39261584292899</v>
      </c>
      <c r="D98">
        <f t="shared" si="7"/>
        <v>227.25899086368432</v>
      </c>
      <c r="E98">
        <f t="shared" si="6"/>
        <v>-0.8663750207553278</v>
      </c>
      <c r="F98">
        <f t="shared" si="4"/>
        <v>-0.61662882373833106</v>
      </c>
      <c r="G98">
        <f t="shared" si="3"/>
        <v>-0.24974619701699674</v>
      </c>
    </row>
    <row r="99" spans="1:7" x14ac:dyDescent="0.2">
      <c r="A99" s="2">
        <v>45611</v>
      </c>
      <c r="B99" s="1">
        <v>225</v>
      </c>
      <c r="C99">
        <f t="shared" si="5"/>
        <v>226.17836725170915</v>
      </c>
      <c r="D99">
        <f t="shared" si="7"/>
        <v>227.0916582071151</v>
      </c>
      <c r="E99">
        <f t="shared" si="6"/>
        <v>-0.91329095540595517</v>
      </c>
      <c r="F99">
        <f t="shared" si="4"/>
        <v>-0.67596125007185592</v>
      </c>
      <c r="G99">
        <f t="shared" si="3"/>
        <v>-0.23732970533409925</v>
      </c>
    </row>
    <row r="100" spans="1:7" x14ac:dyDescent="0.2">
      <c r="A100" s="2">
        <v>45614</v>
      </c>
      <c r="B100" s="1">
        <v>228.02</v>
      </c>
      <c r="C100">
        <f t="shared" si="5"/>
        <v>226.46169536683084</v>
      </c>
      <c r="D100">
        <f t="shared" si="7"/>
        <v>227.1604242658473</v>
      </c>
      <c r="E100">
        <f t="shared" si="6"/>
        <v>-0.69872889901645863</v>
      </c>
      <c r="F100">
        <f t="shared" si="4"/>
        <v>-0.68051477986077646</v>
      </c>
      <c r="G100">
        <f t="shared" si="3"/>
        <v>-1.8214119155682162E-2</v>
      </c>
    </row>
    <row r="101" spans="1:7" x14ac:dyDescent="0.2">
      <c r="A101" s="2">
        <v>45615</v>
      </c>
      <c r="B101" s="1">
        <v>228.28</v>
      </c>
      <c r="C101">
        <f t="shared" si="5"/>
        <v>226.74143454116455</v>
      </c>
      <c r="D101">
        <f t="shared" si="7"/>
        <v>227.24335580171046</v>
      </c>
      <c r="E101">
        <f t="shared" si="6"/>
        <v>-0.50192126054591313</v>
      </c>
      <c r="F101">
        <f t="shared" si="4"/>
        <v>-0.64479607599780386</v>
      </c>
      <c r="G101">
        <f t="shared" ref="G101:G164" si="8">E101-F101</f>
        <v>0.14287481545189074</v>
      </c>
    </row>
    <row r="102" spans="1:7" x14ac:dyDescent="0.2">
      <c r="A102" s="2">
        <v>45616</v>
      </c>
      <c r="B102" s="1">
        <v>229</v>
      </c>
      <c r="C102">
        <f t="shared" si="5"/>
        <v>227.08890615021616</v>
      </c>
      <c r="D102">
        <f t="shared" si="7"/>
        <v>227.37347759417636</v>
      </c>
      <c r="E102">
        <f t="shared" si="6"/>
        <v>-0.2845714439602034</v>
      </c>
      <c r="F102">
        <f t="shared" ref="F102:F165" si="9">(E102*(2/(9+1)))+(F101*(1-(2/(9+1))))</f>
        <v>-0.57275114959028373</v>
      </c>
      <c r="G102">
        <f t="shared" si="8"/>
        <v>0.28817970563008033</v>
      </c>
    </row>
    <row r="103" spans="1:7" x14ac:dyDescent="0.2">
      <c r="A103" s="2">
        <v>45617</v>
      </c>
      <c r="B103" s="1">
        <v>228.52</v>
      </c>
      <c r="C103">
        <f t="shared" si="5"/>
        <v>227.30907443479828</v>
      </c>
      <c r="D103">
        <f t="shared" si="7"/>
        <v>227.45840517979292</v>
      </c>
      <c r="E103">
        <f t="shared" si="6"/>
        <v>-0.14933074499464283</v>
      </c>
      <c r="F103">
        <f t="shared" si="9"/>
        <v>-0.48806706867115557</v>
      </c>
      <c r="G103">
        <f t="shared" si="8"/>
        <v>0.33873632367651274</v>
      </c>
    </row>
    <row r="104" spans="1:7" x14ac:dyDescent="0.2">
      <c r="A104" s="2">
        <v>45618</v>
      </c>
      <c r="B104" s="1">
        <v>229.87</v>
      </c>
      <c r="C104">
        <f t="shared" si="5"/>
        <v>227.70306298329086</v>
      </c>
      <c r="D104">
        <f t="shared" si="7"/>
        <v>227.63704183314158</v>
      </c>
      <c r="E104">
        <f t="shared" si="6"/>
        <v>6.6021150149282448E-2</v>
      </c>
      <c r="F104">
        <f t="shared" si="9"/>
        <v>-0.37724942490706798</v>
      </c>
      <c r="G104">
        <f t="shared" si="8"/>
        <v>0.44327057505635042</v>
      </c>
    </row>
    <row r="105" spans="1:7" x14ac:dyDescent="0.2">
      <c r="A105" s="2">
        <v>45621</v>
      </c>
      <c r="B105" s="1">
        <v>232.87</v>
      </c>
      <c r="C105">
        <f t="shared" si="5"/>
        <v>228.49797637047689</v>
      </c>
      <c r="D105">
        <f t="shared" si="7"/>
        <v>228.02466836401999</v>
      </c>
      <c r="E105">
        <f t="shared" si="6"/>
        <v>0.47330800645690374</v>
      </c>
      <c r="F105">
        <f t="shared" si="9"/>
        <v>-0.20713793863427366</v>
      </c>
      <c r="G105">
        <f t="shared" si="8"/>
        <v>0.6804459450911774</v>
      </c>
    </row>
    <row r="106" spans="1:7" x14ac:dyDescent="0.2">
      <c r="A106" s="2">
        <v>45622</v>
      </c>
      <c r="B106" s="1">
        <v>235.06</v>
      </c>
      <c r="C106">
        <f t="shared" si="5"/>
        <v>229.50751846732658</v>
      </c>
      <c r="D106">
        <f t="shared" si="7"/>
        <v>228.54580404075924</v>
      </c>
      <c r="E106">
        <f t="shared" si="6"/>
        <v>0.9617144265673403</v>
      </c>
      <c r="F106">
        <f t="shared" si="9"/>
        <v>2.6632534406049152E-2</v>
      </c>
      <c r="G106">
        <f t="shared" si="8"/>
        <v>0.93508189216129112</v>
      </c>
    </row>
    <row r="107" spans="1:7" x14ac:dyDescent="0.2">
      <c r="A107" s="2">
        <v>45623</v>
      </c>
      <c r="B107" s="1">
        <v>234.93</v>
      </c>
      <c r="C107">
        <f t="shared" si="5"/>
        <v>230.34174639543019</v>
      </c>
      <c r="D107">
        <f t="shared" si="7"/>
        <v>229.01870744514741</v>
      </c>
      <c r="E107">
        <f t="shared" si="6"/>
        <v>1.3230389502827791</v>
      </c>
      <c r="F107">
        <f t="shared" si="9"/>
        <v>0.28591381758139517</v>
      </c>
      <c r="G107">
        <f t="shared" si="8"/>
        <v>1.037125132701384</v>
      </c>
    </row>
    <row r="108" spans="1:7" x14ac:dyDescent="0.2">
      <c r="A108" s="2">
        <v>45625</v>
      </c>
      <c r="B108" s="1">
        <v>237.33</v>
      </c>
      <c r="C108">
        <f t="shared" si="5"/>
        <v>231.41686233459478</v>
      </c>
      <c r="D108">
        <f t="shared" si="7"/>
        <v>229.63435874550686</v>
      </c>
      <c r="E108">
        <f t="shared" si="6"/>
        <v>1.7825035890879235</v>
      </c>
      <c r="F108">
        <f t="shared" si="9"/>
        <v>0.58523177188270092</v>
      </c>
      <c r="G108">
        <f t="shared" si="8"/>
        <v>1.1972718172052226</v>
      </c>
    </row>
    <row r="109" spans="1:7" x14ac:dyDescent="0.2">
      <c r="A109" s="2">
        <v>45628</v>
      </c>
      <c r="B109" s="1">
        <v>239.59</v>
      </c>
      <c r="C109">
        <f t="shared" si="5"/>
        <v>232.67426812927249</v>
      </c>
      <c r="D109">
        <f t="shared" si="7"/>
        <v>230.3718136532471</v>
      </c>
      <c r="E109">
        <f t="shared" si="6"/>
        <v>2.3024544760253889</v>
      </c>
      <c r="F109">
        <f t="shared" si="9"/>
        <v>0.92867631271123852</v>
      </c>
      <c r="G109">
        <f t="shared" si="8"/>
        <v>1.3737781633141504</v>
      </c>
    </row>
    <row r="110" spans="1:7" x14ac:dyDescent="0.2">
      <c r="A110" s="2">
        <v>45629</v>
      </c>
      <c r="B110" s="1">
        <v>242.65</v>
      </c>
      <c r="C110">
        <f t="shared" si="5"/>
        <v>234.20899610938443</v>
      </c>
      <c r="D110">
        <f t="shared" si="7"/>
        <v>231.28130893819176</v>
      </c>
      <c r="E110">
        <f t="shared" si="6"/>
        <v>2.9276871711926731</v>
      </c>
      <c r="F110">
        <f t="shared" si="9"/>
        <v>1.3284784844075255</v>
      </c>
      <c r="G110">
        <f t="shared" si="8"/>
        <v>1.5992086867851476</v>
      </c>
    </row>
    <row r="111" spans="1:7" x14ac:dyDescent="0.2">
      <c r="A111" s="2">
        <v>45630</v>
      </c>
      <c r="B111" s="1">
        <v>243.01</v>
      </c>
      <c r="C111">
        <f t="shared" si="5"/>
        <v>235.56299670794067</v>
      </c>
      <c r="D111">
        <f t="shared" si="7"/>
        <v>232.15010086869609</v>
      </c>
      <c r="E111">
        <f t="shared" si="6"/>
        <v>3.4128958392445838</v>
      </c>
      <c r="F111">
        <f t="shared" si="9"/>
        <v>1.7453619553749373</v>
      </c>
      <c r="G111">
        <f t="shared" si="8"/>
        <v>1.6675338838696465</v>
      </c>
    </row>
    <row r="112" spans="1:7" x14ac:dyDescent="0.2">
      <c r="A112" s="2">
        <v>45631</v>
      </c>
      <c r="B112" s="1">
        <v>243.04</v>
      </c>
      <c r="C112">
        <f t="shared" si="5"/>
        <v>236.71330490671903</v>
      </c>
      <c r="D112">
        <f t="shared" si="7"/>
        <v>232.95676006360748</v>
      </c>
      <c r="E112">
        <f t="shared" si="6"/>
        <v>3.7565448431115556</v>
      </c>
      <c r="F112">
        <f t="shared" si="9"/>
        <v>2.1475985329222613</v>
      </c>
      <c r="G112">
        <f t="shared" si="8"/>
        <v>1.6089463101892942</v>
      </c>
    </row>
    <row r="113" spans="1:7" x14ac:dyDescent="0.2">
      <c r="A113" s="2">
        <v>45632</v>
      </c>
      <c r="B113" s="1">
        <v>242.84</v>
      </c>
      <c r="C113">
        <f t="shared" si="5"/>
        <v>237.65587338260843</v>
      </c>
      <c r="D113">
        <f t="shared" si="7"/>
        <v>233.68885191074767</v>
      </c>
      <c r="E113">
        <f t="shared" si="6"/>
        <v>3.967021471860761</v>
      </c>
      <c r="F113">
        <f t="shared" si="9"/>
        <v>2.5114831207099613</v>
      </c>
      <c r="G113">
        <f t="shared" si="8"/>
        <v>1.4555383511507998</v>
      </c>
    </row>
    <row r="114" spans="1:7" x14ac:dyDescent="0.2">
      <c r="A114" s="2">
        <v>45635</v>
      </c>
      <c r="B114" s="1">
        <v>246.75</v>
      </c>
      <c r="C114">
        <f t="shared" si="5"/>
        <v>239.05496978528407</v>
      </c>
      <c r="D114">
        <f t="shared" si="7"/>
        <v>234.65634436180341</v>
      </c>
      <c r="E114">
        <f t="shared" si="6"/>
        <v>4.3986254234806665</v>
      </c>
      <c r="F114">
        <f t="shared" si="9"/>
        <v>2.8889115812641024</v>
      </c>
      <c r="G114">
        <f t="shared" si="8"/>
        <v>1.5097138422165641</v>
      </c>
    </row>
    <row r="115" spans="1:7" x14ac:dyDescent="0.2">
      <c r="A115" s="2">
        <v>45636</v>
      </c>
      <c r="B115" s="1">
        <v>247.77</v>
      </c>
      <c r="C115">
        <f t="shared" si="5"/>
        <v>240.39574366447113</v>
      </c>
      <c r="D115">
        <f t="shared" si="7"/>
        <v>235.62772626092908</v>
      </c>
      <c r="E115">
        <f t="shared" si="6"/>
        <v>4.7680174035420464</v>
      </c>
      <c r="F115">
        <f t="shared" si="9"/>
        <v>3.2647327457196913</v>
      </c>
      <c r="G115">
        <f t="shared" si="8"/>
        <v>1.5032846578223551</v>
      </c>
    </row>
    <row r="116" spans="1:7" x14ac:dyDescent="0.2">
      <c r="A116" s="2">
        <v>45637</v>
      </c>
      <c r="B116" s="1">
        <v>246.49</v>
      </c>
      <c r="C116">
        <f t="shared" si="5"/>
        <v>241.33332156224481</v>
      </c>
      <c r="D116">
        <f t="shared" si="7"/>
        <v>236.43233913048988</v>
      </c>
      <c r="E116">
        <f t="shared" si="6"/>
        <v>4.900982431754926</v>
      </c>
      <c r="F116">
        <f t="shared" si="9"/>
        <v>3.5919826829267385</v>
      </c>
      <c r="G116">
        <f t="shared" si="8"/>
        <v>1.3089997488281875</v>
      </c>
    </row>
    <row r="117" spans="1:7" x14ac:dyDescent="0.2">
      <c r="A117" s="2">
        <v>45638</v>
      </c>
      <c r="B117" s="1">
        <v>247.96</v>
      </c>
      <c r="C117">
        <f t="shared" si="5"/>
        <v>242.3528105526687</v>
      </c>
      <c r="D117">
        <f t="shared" si="7"/>
        <v>237.28623993563878</v>
      </c>
      <c r="E117">
        <f t="shared" si="6"/>
        <v>5.0665706170299245</v>
      </c>
      <c r="F117">
        <f t="shared" si="9"/>
        <v>3.8869002697473762</v>
      </c>
      <c r="G117">
        <f t="shared" si="8"/>
        <v>1.1796703472825483</v>
      </c>
    </row>
    <row r="118" spans="1:7" x14ac:dyDescent="0.2">
      <c r="A118" s="2">
        <v>45639</v>
      </c>
      <c r="B118" s="1">
        <v>248.13</v>
      </c>
      <c r="C118">
        <f t="shared" si="5"/>
        <v>243.24160892918121</v>
      </c>
      <c r="D118">
        <f t="shared" si="7"/>
        <v>238.08948142188774</v>
      </c>
      <c r="E118">
        <f t="shared" si="6"/>
        <v>5.1521275072934714</v>
      </c>
      <c r="F118">
        <f t="shared" si="9"/>
        <v>4.1399457172565954</v>
      </c>
      <c r="G118">
        <f t="shared" si="8"/>
        <v>1.0121817900368759</v>
      </c>
    </row>
    <row r="119" spans="1:7" x14ac:dyDescent="0.2">
      <c r="A119" s="2">
        <v>45642</v>
      </c>
      <c r="B119" s="1">
        <v>251.04</v>
      </c>
      <c r="C119">
        <f t="shared" si="5"/>
        <v>244.44136140161487</v>
      </c>
      <c r="D119">
        <f t="shared" si="7"/>
        <v>239.04877909434052</v>
      </c>
      <c r="E119">
        <f t="shared" si="6"/>
        <v>5.3925823072743526</v>
      </c>
      <c r="F119">
        <f t="shared" si="9"/>
        <v>4.3904730352601469</v>
      </c>
      <c r="G119">
        <f t="shared" si="8"/>
        <v>1.0021092720142057</v>
      </c>
    </row>
    <row r="120" spans="1:7" x14ac:dyDescent="0.2">
      <c r="A120" s="2">
        <v>45643</v>
      </c>
      <c r="B120" s="1">
        <v>253.48</v>
      </c>
      <c r="C120">
        <f t="shared" si="5"/>
        <v>245.83192118598183</v>
      </c>
      <c r="D120">
        <f t="shared" si="7"/>
        <v>240.11775842068567</v>
      </c>
      <c r="E120">
        <f t="shared" si="6"/>
        <v>5.7141627652961517</v>
      </c>
      <c r="F120">
        <f t="shared" si="9"/>
        <v>4.6552109812673486</v>
      </c>
      <c r="G120">
        <f t="shared" si="8"/>
        <v>1.0589517840288032</v>
      </c>
    </row>
    <row r="121" spans="1:7" x14ac:dyDescent="0.2">
      <c r="A121" s="2">
        <v>45644</v>
      </c>
      <c r="B121" s="1">
        <v>248.05</v>
      </c>
      <c r="C121">
        <f t="shared" si="5"/>
        <v>246.17316408044616</v>
      </c>
      <c r="D121">
        <f t="shared" si="7"/>
        <v>240.70533187100523</v>
      </c>
      <c r="E121">
        <f t="shared" si="6"/>
        <v>5.4678322094409282</v>
      </c>
      <c r="F121">
        <f t="shared" si="9"/>
        <v>4.8177352269020641</v>
      </c>
      <c r="G121">
        <f t="shared" si="8"/>
        <v>0.65009698253886405</v>
      </c>
    </row>
    <row r="122" spans="1:7" x14ac:dyDescent="0.2">
      <c r="A122" s="2">
        <v>45645</v>
      </c>
      <c r="B122" s="1">
        <v>249.79</v>
      </c>
      <c r="C122">
        <f t="shared" si="5"/>
        <v>246.72960037576212</v>
      </c>
      <c r="D122">
        <f t="shared" si="7"/>
        <v>241.37827025093077</v>
      </c>
      <c r="E122">
        <f t="shared" si="6"/>
        <v>5.3513301248313496</v>
      </c>
      <c r="F122">
        <f t="shared" si="9"/>
        <v>4.9244542064879218</v>
      </c>
      <c r="G122">
        <f t="shared" si="8"/>
        <v>0.42687591834342786</v>
      </c>
    </row>
    <row r="123" spans="1:7" x14ac:dyDescent="0.2">
      <c r="A123" s="2">
        <v>45646</v>
      </c>
      <c r="B123" s="1">
        <v>254.49</v>
      </c>
      <c r="C123">
        <f t="shared" si="5"/>
        <v>247.92350801026024</v>
      </c>
      <c r="D123">
        <f t="shared" si="7"/>
        <v>242.34950949160259</v>
      </c>
      <c r="E123">
        <f t="shared" si="6"/>
        <v>5.5739985186576462</v>
      </c>
      <c r="F123">
        <f t="shared" si="9"/>
        <v>5.0543630689218668</v>
      </c>
      <c r="G123">
        <f t="shared" si="8"/>
        <v>0.51963544973577935</v>
      </c>
    </row>
    <row r="124" spans="1:7" x14ac:dyDescent="0.2">
      <c r="A124" s="2">
        <v>45649</v>
      </c>
      <c r="B124" s="1">
        <v>255.27</v>
      </c>
      <c r="C124">
        <f t="shared" si="5"/>
        <v>249.05373754714327</v>
      </c>
      <c r="D124">
        <f t="shared" si="7"/>
        <v>243.30658286259501</v>
      </c>
      <c r="E124">
        <f t="shared" si="6"/>
        <v>5.7471546845482635</v>
      </c>
      <c r="F124">
        <f t="shared" si="9"/>
        <v>5.192921392047146</v>
      </c>
      <c r="G124">
        <f t="shared" si="8"/>
        <v>0.55423329250111752</v>
      </c>
    </row>
    <row r="125" spans="1:7" x14ac:dyDescent="0.2">
      <c r="A125" s="2">
        <v>45650</v>
      </c>
      <c r="B125" s="1">
        <v>258.2</v>
      </c>
      <c r="C125">
        <f t="shared" si="5"/>
        <v>250.46085484758277</v>
      </c>
      <c r="D125">
        <f t="shared" si="7"/>
        <v>244.40979894684722</v>
      </c>
      <c r="E125">
        <f t="shared" si="6"/>
        <v>6.0510559007355482</v>
      </c>
      <c r="F125">
        <f t="shared" si="9"/>
        <v>5.3645482937848268</v>
      </c>
      <c r="G125">
        <f t="shared" si="8"/>
        <v>0.68650760695072144</v>
      </c>
    </row>
    <row r="126" spans="1:7" x14ac:dyDescent="0.2">
      <c r="A126" s="2">
        <v>45652</v>
      </c>
      <c r="B126" s="1">
        <v>259.02</v>
      </c>
      <c r="C126">
        <f t="shared" si="5"/>
        <v>251.77764640949312</v>
      </c>
      <c r="D126">
        <f t="shared" si="7"/>
        <v>245.49203606189556</v>
      </c>
      <c r="E126">
        <f t="shared" si="6"/>
        <v>6.2856103475975544</v>
      </c>
      <c r="F126">
        <f t="shared" si="9"/>
        <v>5.5487607045473721</v>
      </c>
      <c r="G126">
        <f t="shared" si="8"/>
        <v>0.7368496430501823</v>
      </c>
    </row>
    <row r="127" spans="1:7" x14ac:dyDescent="0.2">
      <c r="A127" s="2">
        <v>45653</v>
      </c>
      <c r="B127" s="1">
        <v>255.59</v>
      </c>
      <c r="C127">
        <f t="shared" si="5"/>
        <v>252.36416234649417</v>
      </c>
      <c r="D127">
        <f t="shared" si="7"/>
        <v>246.24003339064404</v>
      </c>
      <c r="E127">
        <f t="shared" si="6"/>
        <v>6.1241289558501251</v>
      </c>
      <c r="F127">
        <f t="shared" si="9"/>
        <v>5.6638343548079231</v>
      </c>
      <c r="G127">
        <f t="shared" si="8"/>
        <v>0.46029460104220199</v>
      </c>
    </row>
    <row r="128" spans="1:7" x14ac:dyDescent="0.2">
      <c r="A128" s="2">
        <v>45656</v>
      </c>
      <c r="B128" s="1">
        <v>252.2</v>
      </c>
      <c r="C128">
        <f t="shared" si="5"/>
        <v>252.33890660087968</v>
      </c>
      <c r="D128">
        <f t="shared" si="7"/>
        <v>246.6815123987445</v>
      </c>
      <c r="E128">
        <f t="shared" si="6"/>
        <v>5.6573942021351797</v>
      </c>
      <c r="F128">
        <f t="shared" si="9"/>
        <v>5.6625463242733742</v>
      </c>
      <c r="G128">
        <f t="shared" si="8"/>
        <v>-5.1521221381944926E-3</v>
      </c>
    </row>
    <row r="129" spans="1:7" x14ac:dyDescent="0.2">
      <c r="A129" s="2">
        <v>45657</v>
      </c>
      <c r="B129" s="1">
        <v>250.42</v>
      </c>
      <c r="C129">
        <f t="shared" si="5"/>
        <v>252.04369020074435</v>
      </c>
      <c r="D129">
        <f t="shared" si="7"/>
        <v>246.95843740624491</v>
      </c>
      <c r="E129">
        <f t="shared" si="6"/>
        <v>5.0852527944994392</v>
      </c>
      <c r="F129">
        <f t="shared" si="9"/>
        <v>5.5470876183185869</v>
      </c>
      <c r="G129">
        <f t="shared" si="8"/>
        <v>-0.46183482381914764</v>
      </c>
    </row>
    <row r="130" spans="1:7" x14ac:dyDescent="0.2">
      <c r="A130" s="2">
        <v>45659</v>
      </c>
      <c r="B130" s="1">
        <v>243.85</v>
      </c>
      <c r="C130">
        <f t="shared" si="5"/>
        <v>250.78312247755292</v>
      </c>
      <c r="D130">
        <f t="shared" si="7"/>
        <v>246.7281827835601</v>
      </c>
      <c r="E130">
        <f t="shared" si="6"/>
        <v>4.0549396939928215</v>
      </c>
      <c r="F130">
        <f t="shared" si="9"/>
        <v>5.2486580334534336</v>
      </c>
      <c r="G130">
        <f t="shared" si="8"/>
        <v>-1.1937183394606121</v>
      </c>
    </row>
    <row r="131" spans="1:7" x14ac:dyDescent="0.2">
      <c r="A131" s="2">
        <v>45660</v>
      </c>
      <c r="B131" s="1">
        <v>243.36</v>
      </c>
      <c r="C131">
        <f t="shared" si="5"/>
        <v>249.64110363485247</v>
      </c>
      <c r="D131">
        <f t="shared" si="7"/>
        <v>246.47868776255567</v>
      </c>
      <c r="E131">
        <f t="shared" si="6"/>
        <v>3.1624158722968048</v>
      </c>
      <c r="F131">
        <f t="shared" si="9"/>
        <v>4.8314096012221084</v>
      </c>
      <c r="G131">
        <f t="shared" si="8"/>
        <v>-1.6689937289253036</v>
      </c>
    </row>
    <row r="132" spans="1:7" x14ac:dyDescent="0.2">
      <c r="A132" s="2">
        <v>45663</v>
      </c>
      <c r="B132" s="1">
        <v>245</v>
      </c>
      <c r="C132">
        <f t="shared" si="5"/>
        <v>248.92708769102899</v>
      </c>
      <c r="D132">
        <f t="shared" si="7"/>
        <v>246.3691553356997</v>
      </c>
      <c r="E132">
        <f t="shared" si="6"/>
        <v>2.5579323553292852</v>
      </c>
      <c r="F132">
        <f t="shared" si="9"/>
        <v>4.3767141520435437</v>
      </c>
      <c r="G132">
        <f t="shared" si="8"/>
        <v>-1.8187817967142585</v>
      </c>
    </row>
    <row r="133" spans="1:7" x14ac:dyDescent="0.2">
      <c r="A133" s="2">
        <v>45664</v>
      </c>
      <c r="B133" s="1">
        <v>242.21</v>
      </c>
      <c r="C133">
        <f t="shared" si="5"/>
        <v>247.89368958471681</v>
      </c>
      <c r="D133">
        <f t="shared" si="7"/>
        <v>246.06106975527749</v>
      </c>
      <c r="E133">
        <f t="shared" si="6"/>
        <v>1.8326198294393237</v>
      </c>
      <c r="F133">
        <f t="shared" si="9"/>
        <v>3.8678952875226997</v>
      </c>
      <c r="G133">
        <f t="shared" si="8"/>
        <v>-2.0352754580833761</v>
      </c>
    </row>
    <row r="134" spans="1:7" x14ac:dyDescent="0.2">
      <c r="A134" s="2">
        <v>45665</v>
      </c>
      <c r="B134" s="1">
        <v>242.7</v>
      </c>
      <c r="C134">
        <f t="shared" si="5"/>
        <v>247.0946604178373</v>
      </c>
      <c r="D134">
        <f t="shared" si="7"/>
        <v>245.81210162525696</v>
      </c>
      <c r="E134">
        <f t="shared" si="6"/>
        <v>1.2825587925803461</v>
      </c>
      <c r="F134">
        <f t="shared" si="9"/>
        <v>3.3508279885342294</v>
      </c>
      <c r="G134">
        <f t="shared" si="8"/>
        <v>-2.0682691959538833</v>
      </c>
    </row>
    <row r="135" spans="1:7" x14ac:dyDescent="0.2">
      <c r="A135" s="2">
        <v>45667</v>
      </c>
      <c r="B135" s="1">
        <v>236.85</v>
      </c>
      <c r="C135">
        <f t="shared" si="5"/>
        <v>245.51855881509312</v>
      </c>
      <c r="D135">
        <f t="shared" si="7"/>
        <v>245.14824224560832</v>
      </c>
      <c r="E135">
        <f t="shared" si="6"/>
        <v>0.37031656948479963</v>
      </c>
      <c r="F135">
        <f t="shared" si="9"/>
        <v>2.7547257047243434</v>
      </c>
      <c r="G135">
        <f t="shared" si="8"/>
        <v>-2.3844091352395438</v>
      </c>
    </row>
    <row r="136" spans="1:7" x14ac:dyDescent="0.2">
      <c r="A136" s="2">
        <v>45670</v>
      </c>
      <c r="B136" s="1">
        <v>234.4</v>
      </c>
      <c r="C136">
        <f t="shared" si="5"/>
        <v>243.80801130507876</v>
      </c>
      <c r="D136">
        <f t="shared" si="7"/>
        <v>244.35207615334105</v>
      </c>
      <c r="E136">
        <f t="shared" si="6"/>
        <v>-0.54406484826228052</v>
      </c>
      <c r="F136">
        <f t="shared" si="9"/>
        <v>2.0949675941270187</v>
      </c>
      <c r="G136">
        <f t="shared" si="8"/>
        <v>-2.6390324423892992</v>
      </c>
    </row>
    <row r="137" spans="1:7" x14ac:dyDescent="0.2">
      <c r="A137" s="2">
        <v>45671</v>
      </c>
      <c r="B137" s="1">
        <v>233.28</v>
      </c>
      <c r="C137">
        <f t="shared" si="5"/>
        <v>242.18831725814357</v>
      </c>
      <c r="D137">
        <f t="shared" si="7"/>
        <v>243.53192236420466</v>
      </c>
      <c r="E137">
        <f t="shared" si="6"/>
        <v>-1.3436051060610907</v>
      </c>
      <c r="F137">
        <f t="shared" si="9"/>
        <v>1.4072530540893968</v>
      </c>
      <c r="G137">
        <f t="shared" si="8"/>
        <v>-2.7508581601504876</v>
      </c>
    </row>
    <row r="138" spans="1:7" x14ac:dyDescent="0.2">
      <c r="A138" s="2">
        <v>45672</v>
      </c>
      <c r="B138" s="1">
        <v>237.87</v>
      </c>
      <c r="C138">
        <f t="shared" si="5"/>
        <v>241.52396075689069</v>
      </c>
      <c r="D138">
        <f t="shared" si="7"/>
        <v>243.1125207075969</v>
      </c>
      <c r="E138">
        <f t="shared" si="6"/>
        <v>-1.5885599507062125</v>
      </c>
      <c r="F138">
        <f t="shared" si="9"/>
        <v>0.80809045313027494</v>
      </c>
      <c r="G138">
        <f t="shared" si="8"/>
        <v>-2.3966504038364875</v>
      </c>
    </row>
    <row r="139" spans="1:7" x14ac:dyDescent="0.2">
      <c r="A139" s="2">
        <v>45673</v>
      </c>
      <c r="B139" s="1">
        <v>228.26</v>
      </c>
      <c r="C139">
        <f t="shared" si="5"/>
        <v>239.48335140967674</v>
      </c>
      <c r="D139">
        <f t="shared" si="7"/>
        <v>242.01233398851565</v>
      </c>
      <c r="E139">
        <f t="shared" si="6"/>
        <v>-2.5289825788389066</v>
      </c>
      <c r="F139">
        <f t="shared" si="9"/>
        <v>0.14067584673643863</v>
      </c>
      <c r="G139">
        <f t="shared" si="8"/>
        <v>-2.6696584255753453</v>
      </c>
    </row>
    <row r="140" spans="1:7" x14ac:dyDescent="0.2">
      <c r="A140" s="2">
        <v>45674</v>
      </c>
      <c r="B140" s="1">
        <v>229.98</v>
      </c>
      <c r="C140">
        <f t="shared" si="5"/>
        <v>238.02129734664956</v>
      </c>
      <c r="D140">
        <f t="shared" si="7"/>
        <v>241.12104998936636</v>
      </c>
      <c r="E140">
        <f t="shared" si="6"/>
        <v>-3.0997526427167941</v>
      </c>
      <c r="F140">
        <f t="shared" si="9"/>
        <v>-0.507409851154208</v>
      </c>
      <c r="G140">
        <f t="shared" si="8"/>
        <v>-2.5923427915625861</v>
      </c>
    </row>
    <row r="141" spans="1:7" x14ac:dyDescent="0.2">
      <c r="A141" s="2">
        <v>45678</v>
      </c>
      <c r="B141" s="1">
        <v>222.64</v>
      </c>
      <c r="C141">
        <f t="shared" si="5"/>
        <v>235.65494390870347</v>
      </c>
      <c r="D141">
        <f t="shared" si="7"/>
        <v>239.75208332348734</v>
      </c>
      <c r="E141">
        <f t="shared" si="6"/>
        <v>-4.097139414783868</v>
      </c>
      <c r="F141">
        <f t="shared" si="9"/>
        <v>-1.22535576388014</v>
      </c>
      <c r="G141">
        <f t="shared" si="8"/>
        <v>-2.871783650903728</v>
      </c>
    </row>
    <row r="142" spans="1:7" x14ac:dyDescent="0.2">
      <c r="A142" s="2">
        <v>45679</v>
      </c>
      <c r="B142" s="1">
        <v>223.83</v>
      </c>
      <c r="C142">
        <f t="shared" si="5"/>
        <v>233.83572176890294</v>
      </c>
      <c r="D142">
        <f t="shared" si="7"/>
        <v>238.57266974396975</v>
      </c>
      <c r="E142">
        <f t="shared" si="6"/>
        <v>-4.736947975066812</v>
      </c>
      <c r="F142">
        <f t="shared" si="9"/>
        <v>-1.9276742061174743</v>
      </c>
      <c r="G142">
        <f t="shared" si="8"/>
        <v>-2.8092737689493377</v>
      </c>
    </row>
    <row r="143" spans="1:7" x14ac:dyDescent="0.2">
      <c r="A143" s="2">
        <v>45680</v>
      </c>
      <c r="B143" s="1">
        <v>223.66</v>
      </c>
      <c r="C143">
        <f t="shared" ref="C143:C189" si="10">(B143*(2/(12+1)))+(C142*(1-(2/(12+1))))</f>
        <v>232.27022611214863</v>
      </c>
      <c r="D143">
        <f t="shared" si="7"/>
        <v>237.46802754071274</v>
      </c>
      <c r="E143">
        <f t="shared" si="6"/>
        <v>-5.1978014285641052</v>
      </c>
      <c r="F143">
        <f t="shared" si="9"/>
        <v>-2.5816996506068008</v>
      </c>
      <c r="G143">
        <f t="shared" si="8"/>
        <v>-2.6161017779573044</v>
      </c>
    </row>
    <row r="144" spans="1:7" x14ac:dyDescent="0.2">
      <c r="A144" s="2">
        <v>45681</v>
      </c>
      <c r="B144" s="1">
        <v>222.78</v>
      </c>
      <c r="C144">
        <f t="shared" si="10"/>
        <v>230.81019132566425</v>
      </c>
      <c r="D144">
        <f t="shared" si="7"/>
        <v>236.38002550065994</v>
      </c>
      <c r="E144">
        <f t="shared" si="6"/>
        <v>-5.569834174995691</v>
      </c>
      <c r="F144">
        <f t="shared" si="9"/>
        <v>-3.1793265554845789</v>
      </c>
      <c r="G144">
        <f t="shared" si="8"/>
        <v>-2.3905076195111121</v>
      </c>
    </row>
    <row r="145" spans="1:7" x14ac:dyDescent="0.2">
      <c r="A145" s="2">
        <v>45684</v>
      </c>
      <c r="B145" s="1">
        <v>229.86</v>
      </c>
      <c r="C145">
        <f t="shared" si="10"/>
        <v>230.66400804479284</v>
      </c>
      <c r="D145">
        <f t="shared" si="7"/>
        <v>235.89706064875921</v>
      </c>
      <c r="E145">
        <f t="shared" si="6"/>
        <v>-5.233052603966371</v>
      </c>
      <c r="F145">
        <f t="shared" si="9"/>
        <v>-3.5900717651809373</v>
      </c>
      <c r="G145">
        <f t="shared" si="8"/>
        <v>-1.6429808387854337</v>
      </c>
    </row>
    <row r="146" spans="1:7" x14ac:dyDescent="0.2">
      <c r="A146" s="2">
        <v>45685</v>
      </c>
      <c r="B146" s="1">
        <v>238.26</v>
      </c>
      <c r="C146">
        <f t="shared" si="10"/>
        <v>231.83262219174776</v>
      </c>
      <c r="D146">
        <f t="shared" si="7"/>
        <v>236.07209319329556</v>
      </c>
      <c r="E146">
        <f t="shared" si="6"/>
        <v>-4.2394710015477983</v>
      </c>
      <c r="F146">
        <f t="shared" si="9"/>
        <v>-3.7199516124543099</v>
      </c>
      <c r="G146">
        <f t="shared" si="8"/>
        <v>-0.51951938909348838</v>
      </c>
    </row>
    <row r="147" spans="1:7" x14ac:dyDescent="0.2">
      <c r="A147" s="2">
        <v>45686</v>
      </c>
      <c r="B147" s="1">
        <v>239.36</v>
      </c>
      <c r="C147">
        <f t="shared" si="10"/>
        <v>232.99068031609426</v>
      </c>
      <c r="D147">
        <f t="shared" si="7"/>
        <v>236.31564184564402</v>
      </c>
      <c r="E147">
        <f t="shared" si="6"/>
        <v>-3.3249615295497676</v>
      </c>
      <c r="F147">
        <f t="shared" si="9"/>
        <v>-3.6409535958734018</v>
      </c>
      <c r="G147">
        <f t="shared" si="8"/>
        <v>0.31599206632363419</v>
      </c>
    </row>
    <row r="148" spans="1:7" x14ac:dyDescent="0.2">
      <c r="A148" s="2">
        <v>45687</v>
      </c>
      <c r="B148" s="1">
        <v>237.59</v>
      </c>
      <c r="C148">
        <f t="shared" si="10"/>
        <v>233.69826795977207</v>
      </c>
      <c r="D148">
        <f t="shared" si="7"/>
        <v>236.41003874596669</v>
      </c>
      <c r="E148">
        <f t="shared" si="6"/>
        <v>-2.7117707861946201</v>
      </c>
      <c r="F148">
        <f t="shared" si="9"/>
        <v>-3.4551170339376456</v>
      </c>
      <c r="G148">
        <f t="shared" si="8"/>
        <v>0.74334624774302549</v>
      </c>
    </row>
    <row r="149" spans="1:7" x14ac:dyDescent="0.2">
      <c r="A149" s="2">
        <v>45688</v>
      </c>
      <c r="B149" s="1">
        <v>236</v>
      </c>
      <c r="C149">
        <f t="shared" si="10"/>
        <v>234.05238058134557</v>
      </c>
      <c r="D149">
        <f t="shared" si="7"/>
        <v>236.37966550552471</v>
      </c>
      <c r="E149">
        <f t="shared" si="6"/>
        <v>-2.3272849241791391</v>
      </c>
      <c r="F149">
        <f t="shared" si="9"/>
        <v>-3.2295506119859443</v>
      </c>
      <c r="G149">
        <f t="shared" si="8"/>
        <v>0.90226568780680516</v>
      </c>
    </row>
    <row r="150" spans="1:7" x14ac:dyDescent="0.2">
      <c r="A150" s="2">
        <v>45691</v>
      </c>
      <c r="B150" s="1">
        <v>228.01</v>
      </c>
      <c r="C150">
        <f t="shared" si="10"/>
        <v>233.12278356883087</v>
      </c>
      <c r="D150">
        <f t="shared" si="7"/>
        <v>235.75969028289327</v>
      </c>
      <c r="E150">
        <f t="shared" si="6"/>
        <v>-2.6369067140624054</v>
      </c>
      <c r="F150">
        <f t="shared" si="9"/>
        <v>-3.1110218324012369</v>
      </c>
      <c r="G150">
        <f t="shared" si="8"/>
        <v>0.47411511833883146</v>
      </c>
    </row>
    <row r="151" spans="1:7" x14ac:dyDescent="0.2">
      <c r="A151" s="2">
        <v>45692</v>
      </c>
      <c r="B151" s="1">
        <v>232.8</v>
      </c>
      <c r="C151">
        <f t="shared" si="10"/>
        <v>233.07312455824149</v>
      </c>
      <c r="D151">
        <f t="shared" si="7"/>
        <v>235.54045396564192</v>
      </c>
      <c r="E151">
        <f t="shared" si="6"/>
        <v>-2.4673294074004275</v>
      </c>
      <c r="F151">
        <f t="shared" si="9"/>
        <v>-2.9822833474010753</v>
      </c>
      <c r="G151">
        <f t="shared" si="8"/>
        <v>0.51495394000064776</v>
      </c>
    </row>
    <row r="152" spans="1:7" x14ac:dyDescent="0.2">
      <c r="A152" s="2">
        <v>45693</v>
      </c>
      <c r="B152" s="1">
        <v>232.47</v>
      </c>
      <c r="C152">
        <f t="shared" si="10"/>
        <v>232.98033616466586</v>
      </c>
      <c r="D152">
        <f t="shared" si="7"/>
        <v>235.31301293114993</v>
      </c>
      <c r="E152">
        <f t="shared" si="6"/>
        <v>-2.3326767664840702</v>
      </c>
      <c r="F152">
        <f t="shared" si="9"/>
        <v>-2.8523620312176741</v>
      </c>
      <c r="G152">
        <f t="shared" si="8"/>
        <v>0.51968526473360388</v>
      </c>
    </row>
    <row r="153" spans="1:7" x14ac:dyDescent="0.2">
      <c r="A153" s="2">
        <v>45694</v>
      </c>
      <c r="B153" s="1">
        <v>233.22</v>
      </c>
      <c r="C153">
        <f t="shared" si="10"/>
        <v>233.01720752394803</v>
      </c>
      <c r="D153">
        <f t="shared" si="7"/>
        <v>235.15797493624996</v>
      </c>
      <c r="E153">
        <f t="shared" si="6"/>
        <v>-2.1407674123019262</v>
      </c>
      <c r="F153">
        <f t="shared" si="9"/>
        <v>-2.7100431074345246</v>
      </c>
      <c r="G153">
        <f t="shared" si="8"/>
        <v>0.56927569513259835</v>
      </c>
    </row>
    <row r="154" spans="1:7" x14ac:dyDescent="0.2">
      <c r="A154" s="2">
        <v>45695</v>
      </c>
      <c r="B154" s="1">
        <v>227.63</v>
      </c>
      <c r="C154">
        <f t="shared" si="10"/>
        <v>232.18840636641758</v>
      </c>
      <c r="D154">
        <f t="shared" si="7"/>
        <v>234.60034716319441</v>
      </c>
      <c r="E154">
        <f t="shared" si="6"/>
        <v>-2.4119407967768325</v>
      </c>
      <c r="F154">
        <f t="shared" si="9"/>
        <v>-2.6504226453029864</v>
      </c>
      <c r="G154">
        <f t="shared" si="8"/>
        <v>0.23848184852615395</v>
      </c>
    </row>
    <row r="155" spans="1:7" x14ac:dyDescent="0.2">
      <c r="A155" s="2">
        <v>45698</v>
      </c>
      <c r="B155" s="1">
        <v>227.65</v>
      </c>
      <c r="C155">
        <f t="shared" si="10"/>
        <v>231.49019000235333</v>
      </c>
      <c r="D155">
        <f t="shared" si="7"/>
        <v>234.08550663258742</v>
      </c>
      <c r="E155">
        <f t="shared" si="6"/>
        <v>-2.5953166302340946</v>
      </c>
      <c r="F155">
        <f t="shared" si="9"/>
        <v>-2.6394014422892083</v>
      </c>
      <c r="G155">
        <f t="shared" si="8"/>
        <v>4.4084812055113609E-2</v>
      </c>
    </row>
    <row r="156" spans="1:7" x14ac:dyDescent="0.2">
      <c r="A156" s="2">
        <v>45699</v>
      </c>
      <c r="B156" s="1">
        <v>232.62</v>
      </c>
      <c r="C156">
        <f t="shared" si="10"/>
        <v>231.66400692506821</v>
      </c>
      <c r="D156">
        <f t="shared" si="7"/>
        <v>233.9769505857291</v>
      </c>
      <c r="E156">
        <f t="shared" ref="E156:E189" si="11">C156-D156</f>
        <v>-2.312943660660892</v>
      </c>
      <c r="F156">
        <f t="shared" si="9"/>
        <v>-2.5741098859635452</v>
      </c>
      <c r="G156">
        <f t="shared" si="8"/>
        <v>0.26116622530265321</v>
      </c>
    </row>
    <row r="157" spans="1:7" x14ac:dyDescent="0.2">
      <c r="A157" s="2">
        <v>45700</v>
      </c>
      <c r="B157" s="1">
        <v>236.87</v>
      </c>
      <c r="C157">
        <f t="shared" si="10"/>
        <v>232.46492893659618</v>
      </c>
      <c r="D157">
        <f t="shared" ref="D157:D189" si="12">(B157*(2/(26+1)))+(D156*(1-(2/(26+1))))</f>
        <v>234.19125054234175</v>
      </c>
      <c r="E157">
        <f t="shared" si="11"/>
        <v>-1.7263216057455679</v>
      </c>
      <c r="F157">
        <f t="shared" si="9"/>
        <v>-2.40455222991995</v>
      </c>
      <c r="G157">
        <f t="shared" si="8"/>
        <v>0.67823062417438207</v>
      </c>
    </row>
    <row r="158" spans="1:7" x14ac:dyDescent="0.2">
      <c r="A158" s="2">
        <v>45701</v>
      </c>
      <c r="B158" s="1">
        <v>241.53</v>
      </c>
      <c r="C158">
        <f t="shared" si="10"/>
        <v>233.8595552540429</v>
      </c>
      <c r="D158">
        <f t="shared" si="12"/>
        <v>234.73486161327941</v>
      </c>
      <c r="E158">
        <f t="shared" si="11"/>
        <v>-0.87530635923650379</v>
      </c>
      <c r="F158">
        <f t="shared" si="9"/>
        <v>-2.0987030557832607</v>
      </c>
      <c r="G158">
        <f t="shared" si="8"/>
        <v>1.2233966965467569</v>
      </c>
    </row>
    <row r="159" spans="1:7" x14ac:dyDescent="0.2">
      <c r="A159" s="2">
        <v>45702</v>
      </c>
      <c r="B159" s="1">
        <v>244.6</v>
      </c>
      <c r="C159">
        <f t="shared" si="10"/>
        <v>235.51193136880553</v>
      </c>
      <c r="D159">
        <f t="shared" si="12"/>
        <v>235.46561260488835</v>
      </c>
      <c r="E159">
        <f t="shared" si="11"/>
        <v>4.6318763917184924E-2</v>
      </c>
      <c r="F159">
        <f t="shared" si="9"/>
        <v>-1.6696986918431718</v>
      </c>
      <c r="G159">
        <f t="shared" si="8"/>
        <v>1.7160174557603567</v>
      </c>
    </row>
    <row r="160" spans="1:7" x14ac:dyDescent="0.2">
      <c r="A160" s="2">
        <v>45706</v>
      </c>
      <c r="B160" s="1">
        <v>244.47</v>
      </c>
      <c r="C160">
        <f t="shared" si="10"/>
        <v>236.89009577360468</v>
      </c>
      <c r="D160">
        <f t="shared" si="12"/>
        <v>236.13260426378551</v>
      </c>
      <c r="E160">
        <f t="shared" si="11"/>
        <v>0.75749150981917523</v>
      </c>
      <c r="F160">
        <f t="shared" si="9"/>
        <v>-1.1842606515107024</v>
      </c>
      <c r="G160">
        <f t="shared" si="8"/>
        <v>1.9417521613298776</v>
      </c>
    </row>
    <row r="161" spans="1:7" x14ac:dyDescent="0.2">
      <c r="A161" s="2">
        <v>45707</v>
      </c>
      <c r="B161" s="1">
        <v>244.87</v>
      </c>
      <c r="C161">
        <f t="shared" si="10"/>
        <v>238.11777334689629</v>
      </c>
      <c r="D161">
        <f t="shared" si="12"/>
        <v>236.77981876276436</v>
      </c>
      <c r="E161">
        <f t="shared" si="11"/>
        <v>1.3379545841319214</v>
      </c>
      <c r="F161">
        <f t="shared" si="9"/>
        <v>-0.67981760438217753</v>
      </c>
      <c r="G161">
        <f t="shared" si="8"/>
        <v>2.0177721885140989</v>
      </c>
    </row>
    <row r="162" spans="1:7" x14ac:dyDescent="0.2">
      <c r="A162" s="2">
        <v>45708</v>
      </c>
      <c r="B162" s="1">
        <v>245.83</v>
      </c>
      <c r="C162">
        <f t="shared" si="10"/>
        <v>239.30426975506612</v>
      </c>
      <c r="D162">
        <f t="shared" si="12"/>
        <v>237.45020255811517</v>
      </c>
      <c r="E162">
        <f t="shared" si="11"/>
        <v>1.8540671969509503</v>
      </c>
      <c r="F162">
        <f t="shared" si="9"/>
        <v>-0.17304064411555198</v>
      </c>
      <c r="G162">
        <f t="shared" si="8"/>
        <v>2.0271078410665022</v>
      </c>
    </row>
    <row r="163" spans="1:7" x14ac:dyDescent="0.2">
      <c r="A163" s="2">
        <v>45709</v>
      </c>
      <c r="B163" s="1">
        <v>245.55</v>
      </c>
      <c r="C163">
        <f t="shared" si="10"/>
        <v>240.26515133120981</v>
      </c>
      <c r="D163">
        <f t="shared" si="12"/>
        <v>238.05018755381036</v>
      </c>
      <c r="E163">
        <f t="shared" si="11"/>
        <v>2.2149637773994471</v>
      </c>
      <c r="F163">
        <f t="shared" si="9"/>
        <v>0.30456024018744787</v>
      </c>
      <c r="G163">
        <f t="shared" si="8"/>
        <v>1.9104035372119992</v>
      </c>
    </row>
    <row r="164" spans="1:7" x14ac:dyDescent="0.2">
      <c r="A164" s="2">
        <v>45712</v>
      </c>
      <c r="B164" s="1">
        <v>247.1</v>
      </c>
      <c r="C164">
        <f t="shared" si="10"/>
        <v>241.3166665110237</v>
      </c>
      <c r="D164">
        <f t="shared" si="12"/>
        <v>238.72054403130591</v>
      </c>
      <c r="E164">
        <f t="shared" si="11"/>
        <v>2.596122479717792</v>
      </c>
      <c r="F164">
        <f t="shared" si="9"/>
        <v>0.76287268809351683</v>
      </c>
      <c r="G164">
        <f t="shared" si="8"/>
        <v>1.8332497916242751</v>
      </c>
    </row>
    <row r="165" spans="1:7" x14ac:dyDescent="0.2">
      <c r="A165" s="2">
        <v>45713</v>
      </c>
      <c r="B165" s="1">
        <v>247.04</v>
      </c>
      <c r="C165">
        <f t="shared" si="10"/>
        <v>242.19717935548158</v>
      </c>
      <c r="D165">
        <f t="shared" si="12"/>
        <v>239.33680002898694</v>
      </c>
      <c r="E165">
        <f t="shared" si="11"/>
        <v>2.8603793264946376</v>
      </c>
      <c r="F165">
        <f t="shared" si="9"/>
        <v>1.182374015773741</v>
      </c>
      <c r="G165">
        <f t="shared" ref="G165:G189" si="13">E165-F165</f>
        <v>1.6780053107208965</v>
      </c>
    </row>
    <row r="166" spans="1:7" x14ac:dyDescent="0.2">
      <c r="A166" s="2">
        <v>45714</v>
      </c>
      <c r="B166" s="1">
        <v>240.36</v>
      </c>
      <c r="C166">
        <f t="shared" si="10"/>
        <v>241.91453637771519</v>
      </c>
      <c r="D166">
        <f t="shared" si="12"/>
        <v>239.41259261943236</v>
      </c>
      <c r="E166">
        <f t="shared" si="11"/>
        <v>2.5019437582828346</v>
      </c>
      <c r="F166">
        <f t="shared" ref="F166:F189" si="14">(E166*(2/(9+1)))+(F165*(1-(2/(9+1))))</f>
        <v>1.4462879642755597</v>
      </c>
      <c r="G166">
        <f t="shared" si="13"/>
        <v>1.0556557940072748</v>
      </c>
    </row>
    <row r="167" spans="1:7" x14ac:dyDescent="0.2">
      <c r="A167" s="2">
        <v>45715</v>
      </c>
      <c r="B167" s="1">
        <v>237.3</v>
      </c>
      <c r="C167">
        <f t="shared" si="10"/>
        <v>241.20460770422054</v>
      </c>
      <c r="D167">
        <f t="shared" si="12"/>
        <v>239.25610427725218</v>
      </c>
      <c r="E167">
        <f t="shared" si="11"/>
        <v>1.9485034269683581</v>
      </c>
      <c r="F167">
        <f t="shared" si="14"/>
        <v>1.5467310568141195</v>
      </c>
      <c r="G167">
        <f t="shared" si="13"/>
        <v>0.40177237015423861</v>
      </c>
    </row>
    <row r="168" spans="1:7" x14ac:dyDescent="0.2">
      <c r="A168" s="2">
        <v>45716</v>
      </c>
      <c r="B168" s="1">
        <v>241.84</v>
      </c>
      <c r="C168">
        <f t="shared" si="10"/>
        <v>241.30236036510968</v>
      </c>
      <c r="D168">
        <f t="shared" si="12"/>
        <v>239.44750396041869</v>
      </c>
      <c r="E168">
        <f t="shared" si="11"/>
        <v>1.8548564046909917</v>
      </c>
      <c r="F168">
        <f t="shared" si="14"/>
        <v>1.6083561263894941</v>
      </c>
      <c r="G168">
        <f t="shared" si="13"/>
        <v>0.24650027830149757</v>
      </c>
    </row>
    <row r="169" spans="1:7" x14ac:dyDescent="0.2">
      <c r="A169" s="2">
        <v>45719</v>
      </c>
      <c r="B169" s="1">
        <v>238.03</v>
      </c>
      <c r="C169">
        <f t="shared" si="10"/>
        <v>240.79892030893896</v>
      </c>
      <c r="D169">
        <f t="shared" si="12"/>
        <v>239.34250366705433</v>
      </c>
      <c r="E169">
        <f t="shared" si="11"/>
        <v>1.4564166418846298</v>
      </c>
      <c r="F169">
        <f t="shared" si="14"/>
        <v>1.5779682294885213</v>
      </c>
      <c r="G169">
        <f t="shared" si="13"/>
        <v>-0.12155158760389151</v>
      </c>
    </row>
    <row r="170" spans="1:7" x14ac:dyDescent="0.2">
      <c r="A170" s="2">
        <v>45720</v>
      </c>
      <c r="B170" s="1">
        <v>235.93</v>
      </c>
      <c r="C170">
        <f t="shared" si="10"/>
        <v>240.04985564602526</v>
      </c>
      <c r="D170">
        <f t="shared" si="12"/>
        <v>239.0897256176429</v>
      </c>
      <c r="E170">
        <f t="shared" si="11"/>
        <v>0.96013002838236616</v>
      </c>
      <c r="F170">
        <f t="shared" si="14"/>
        <v>1.4544005892672904</v>
      </c>
      <c r="G170">
        <f t="shared" si="13"/>
        <v>-0.49427056088492427</v>
      </c>
    </row>
    <row r="171" spans="1:7" x14ac:dyDescent="0.2">
      <c r="A171" s="2">
        <v>45721</v>
      </c>
      <c r="B171" s="1">
        <v>235.74</v>
      </c>
      <c r="C171">
        <f t="shared" si="10"/>
        <v>239.38680093125214</v>
      </c>
      <c r="D171">
        <f t="shared" si="12"/>
        <v>238.8415977941138</v>
      </c>
      <c r="E171">
        <f t="shared" si="11"/>
        <v>0.54520313713834412</v>
      </c>
      <c r="F171">
        <f t="shared" si="14"/>
        <v>1.272561098841501</v>
      </c>
      <c r="G171">
        <f t="shared" si="13"/>
        <v>-0.72735796170315692</v>
      </c>
    </row>
    <row r="172" spans="1:7" x14ac:dyDescent="0.2">
      <c r="A172" s="2">
        <v>45722</v>
      </c>
      <c r="B172" s="1">
        <v>235.33</v>
      </c>
      <c r="C172">
        <f t="shared" si="10"/>
        <v>238.7626777110595</v>
      </c>
      <c r="D172">
        <f t="shared" si="12"/>
        <v>238.58147943899425</v>
      </c>
      <c r="E172">
        <f t="shared" si="11"/>
        <v>0.18119827206524519</v>
      </c>
      <c r="F172">
        <f t="shared" si="14"/>
        <v>1.05428853348625</v>
      </c>
      <c r="G172">
        <f t="shared" si="13"/>
        <v>-0.87309026142100477</v>
      </c>
    </row>
    <row r="173" spans="1:7" x14ac:dyDescent="0.2">
      <c r="A173" s="2">
        <v>45723</v>
      </c>
      <c r="B173" s="1">
        <v>239.07</v>
      </c>
      <c r="C173">
        <f t="shared" si="10"/>
        <v>238.80995806320419</v>
      </c>
      <c r="D173">
        <f t="shared" si="12"/>
        <v>238.61766614721688</v>
      </c>
      <c r="E173">
        <f t="shared" si="11"/>
        <v>0.19229191598731177</v>
      </c>
      <c r="F173">
        <f t="shared" si="14"/>
        <v>0.88188920998646236</v>
      </c>
      <c r="G173">
        <f t="shared" si="13"/>
        <v>-0.6895972939991506</v>
      </c>
    </row>
    <row r="174" spans="1:7" x14ac:dyDescent="0.2">
      <c r="A174" s="2">
        <v>45726</v>
      </c>
      <c r="B174" s="1">
        <v>227.48</v>
      </c>
      <c r="C174">
        <f t="shared" si="10"/>
        <v>237.06688759194202</v>
      </c>
      <c r="D174">
        <f t="shared" si="12"/>
        <v>237.79265384001562</v>
      </c>
      <c r="E174">
        <f t="shared" si="11"/>
        <v>-0.72576624807359735</v>
      </c>
      <c r="F174">
        <f t="shared" si="14"/>
        <v>0.56035811837445038</v>
      </c>
      <c r="G174">
        <f t="shared" si="13"/>
        <v>-1.2861243664480477</v>
      </c>
    </row>
    <row r="175" spans="1:7" x14ac:dyDescent="0.2">
      <c r="A175" s="2">
        <v>45727</v>
      </c>
      <c r="B175" s="1">
        <v>220.84</v>
      </c>
      <c r="C175">
        <f t="shared" si="10"/>
        <v>234.57044334702786</v>
      </c>
      <c r="D175">
        <f t="shared" si="12"/>
        <v>236.53690170371814</v>
      </c>
      <c r="E175">
        <f t="shared" si="11"/>
        <v>-1.966458356690282</v>
      </c>
      <c r="F175">
        <f t="shared" si="14"/>
        <v>5.4994823361503908E-2</v>
      </c>
      <c r="G175">
        <f t="shared" si="13"/>
        <v>-2.0214531800517861</v>
      </c>
    </row>
    <row r="176" spans="1:7" x14ac:dyDescent="0.2">
      <c r="A176" s="2">
        <v>45728</v>
      </c>
      <c r="B176" s="1">
        <v>216.98</v>
      </c>
      <c r="C176">
        <f t="shared" si="10"/>
        <v>231.86422129363896</v>
      </c>
      <c r="D176">
        <f t="shared" si="12"/>
        <v>235.08824231825756</v>
      </c>
      <c r="E176">
        <f t="shared" si="11"/>
        <v>-3.2240210246185939</v>
      </c>
      <c r="F176">
        <f t="shared" si="14"/>
        <v>-0.60080834623451573</v>
      </c>
      <c r="G176">
        <f t="shared" si="13"/>
        <v>-2.6232126783840783</v>
      </c>
    </row>
    <row r="177" spans="1:7" x14ac:dyDescent="0.2">
      <c r="A177" s="2">
        <v>45729</v>
      </c>
      <c r="B177" s="1">
        <v>209.68</v>
      </c>
      <c r="C177">
        <f t="shared" si="10"/>
        <v>228.45126417154066</v>
      </c>
      <c r="D177">
        <f t="shared" si="12"/>
        <v>233.20615029468291</v>
      </c>
      <c r="E177">
        <f t="shared" si="11"/>
        <v>-4.7548861231422563</v>
      </c>
      <c r="F177">
        <f t="shared" si="14"/>
        <v>-1.4316239016160639</v>
      </c>
      <c r="G177">
        <f t="shared" si="13"/>
        <v>-3.3232622215261927</v>
      </c>
    </row>
    <row r="178" spans="1:7" x14ac:dyDescent="0.2">
      <c r="A178" s="2">
        <v>45730</v>
      </c>
      <c r="B178" s="1">
        <v>213.49</v>
      </c>
      <c r="C178">
        <f t="shared" si="10"/>
        <v>226.14953122207288</v>
      </c>
      <c r="D178">
        <f t="shared" si="12"/>
        <v>231.74569471729902</v>
      </c>
      <c r="E178">
        <f t="shared" si="11"/>
        <v>-5.5961634952261363</v>
      </c>
      <c r="F178">
        <f t="shared" si="14"/>
        <v>-2.2645318203380782</v>
      </c>
      <c r="G178">
        <f t="shared" si="13"/>
        <v>-3.3316316748880581</v>
      </c>
    </row>
    <row r="179" spans="1:7" x14ac:dyDescent="0.2">
      <c r="A179" s="2">
        <v>45733</v>
      </c>
      <c r="B179" s="1">
        <v>214</v>
      </c>
      <c r="C179">
        <f t="shared" si="10"/>
        <v>224.28037257252322</v>
      </c>
      <c r="D179">
        <f t="shared" si="12"/>
        <v>230.43119881231391</v>
      </c>
      <c r="E179">
        <f t="shared" si="11"/>
        <v>-6.150826239790689</v>
      </c>
      <c r="F179">
        <f t="shared" si="14"/>
        <v>-3.0417907042286005</v>
      </c>
      <c r="G179">
        <f t="shared" si="13"/>
        <v>-3.1090355355620884</v>
      </c>
    </row>
    <row r="180" spans="1:7" x14ac:dyDescent="0.2">
      <c r="A180" s="2">
        <v>45734</v>
      </c>
      <c r="B180" s="1">
        <v>212.69</v>
      </c>
      <c r="C180">
        <f t="shared" si="10"/>
        <v>222.49723833059659</v>
      </c>
      <c r="D180">
        <f t="shared" si="12"/>
        <v>229.1170359373277</v>
      </c>
      <c r="E180">
        <f t="shared" si="11"/>
        <v>-6.6197976067311117</v>
      </c>
      <c r="F180">
        <f t="shared" si="14"/>
        <v>-3.7573920847291031</v>
      </c>
      <c r="G180">
        <f t="shared" si="13"/>
        <v>-2.8624055220020086</v>
      </c>
    </row>
    <row r="181" spans="1:7" x14ac:dyDescent="0.2">
      <c r="A181" s="2">
        <v>45735</v>
      </c>
      <c r="B181" s="1">
        <v>215.24</v>
      </c>
      <c r="C181">
        <f t="shared" si="10"/>
        <v>221.38074012588942</v>
      </c>
      <c r="D181">
        <f t="shared" si="12"/>
        <v>228.08910734937751</v>
      </c>
      <c r="E181">
        <f t="shared" si="11"/>
        <v>-6.7083672234880964</v>
      </c>
      <c r="F181">
        <f t="shared" si="14"/>
        <v>-4.3475871124809018</v>
      </c>
      <c r="G181">
        <f t="shared" si="13"/>
        <v>-2.3607801110071946</v>
      </c>
    </row>
    <row r="182" spans="1:7" x14ac:dyDescent="0.2">
      <c r="A182" s="2">
        <v>45736</v>
      </c>
      <c r="B182" s="1">
        <v>214.1</v>
      </c>
      <c r="C182">
        <f t="shared" si="10"/>
        <v>220.26062626036799</v>
      </c>
      <c r="D182">
        <f t="shared" si="12"/>
        <v>227.05287717534955</v>
      </c>
      <c r="E182">
        <f t="shared" si="11"/>
        <v>-6.7922509149815653</v>
      </c>
      <c r="F182">
        <f t="shared" si="14"/>
        <v>-4.8365198729810341</v>
      </c>
      <c r="G182">
        <f t="shared" si="13"/>
        <v>-1.9557310420005312</v>
      </c>
    </row>
    <row r="183" spans="1:7" x14ac:dyDescent="0.2">
      <c r="A183" s="2">
        <v>45737</v>
      </c>
      <c r="B183" s="1">
        <v>218.27</v>
      </c>
      <c r="C183">
        <f t="shared" si="10"/>
        <v>219.95437606646522</v>
      </c>
      <c r="D183">
        <f t="shared" si="12"/>
        <v>226.40229368087921</v>
      </c>
      <c r="E183">
        <f t="shared" si="11"/>
        <v>-6.4479176144139956</v>
      </c>
      <c r="F183">
        <f t="shared" si="14"/>
        <v>-5.1587994212676271</v>
      </c>
      <c r="G183">
        <f t="shared" si="13"/>
        <v>-1.2891181931463684</v>
      </c>
    </row>
    <row r="184" spans="1:7" x14ac:dyDescent="0.2">
      <c r="A184" s="2">
        <v>45740</v>
      </c>
      <c r="B184" s="1">
        <v>220.73</v>
      </c>
      <c r="C184">
        <f t="shared" si="10"/>
        <v>220.07370282547055</v>
      </c>
      <c r="D184">
        <f t="shared" si="12"/>
        <v>225.98212377859187</v>
      </c>
      <c r="E184">
        <f t="shared" si="11"/>
        <v>-5.9084209531213219</v>
      </c>
      <c r="F184">
        <f t="shared" si="14"/>
        <v>-5.3087237276383661</v>
      </c>
      <c r="G184">
        <f t="shared" si="13"/>
        <v>-0.59969722548295579</v>
      </c>
    </row>
    <row r="185" spans="1:7" x14ac:dyDescent="0.2">
      <c r="A185" s="2">
        <v>45741</v>
      </c>
      <c r="B185" s="1">
        <v>223.75</v>
      </c>
      <c r="C185">
        <f t="shared" si="10"/>
        <v>220.63928700616739</v>
      </c>
      <c r="D185">
        <f t="shared" si="12"/>
        <v>225.81678127647396</v>
      </c>
      <c r="E185">
        <f t="shared" si="11"/>
        <v>-5.1774942703065676</v>
      </c>
      <c r="F185">
        <f t="shared" si="14"/>
        <v>-5.2824778361720064</v>
      </c>
      <c r="G185">
        <f t="shared" si="13"/>
        <v>0.10498356586543878</v>
      </c>
    </row>
    <row r="186" spans="1:7" x14ac:dyDescent="0.2">
      <c r="A186" s="2">
        <v>45742</v>
      </c>
      <c r="B186" s="1">
        <v>221.53</v>
      </c>
      <c r="C186">
        <f t="shared" si="10"/>
        <v>220.77631977444932</v>
      </c>
      <c r="D186">
        <f t="shared" si="12"/>
        <v>225.49924192266107</v>
      </c>
      <c r="E186">
        <f t="shared" si="11"/>
        <v>-4.7229221482117509</v>
      </c>
      <c r="F186">
        <f t="shared" si="14"/>
        <v>-5.1705666985799557</v>
      </c>
      <c r="G186">
        <f t="shared" si="13"/>
        <v>0.44764455036820472</v>
      </c>
    </row>
    <row r="187" spans="1:7" x14ac:dyDescent="0.2">
      <c r="A187" s="2">
        <v>45743</v>
      </c>
      <c r="B187" s="1">
        <v>223.85</v>
      </c>
      <c r="C187">
        <f t="shared" si="10"/>
        <v>221.24919365530326</v>
      </c>
      <c r="D187">
        <f t="shared" si="12"/>
        <v>225.37707585431582</v>
      </c>
      <c r="E187">
        <f t="shared" si="11"/>
        <v>-4.1278821990125607</v>
      </c>
      <c r="F187">
        <f t="shared" si="14"/>
        <v>-4.9620297986664772</v>
      </c>
      <c r="G187">
        <f t="shared" si="13"/>
        <v>0.83414759965391649</v>
      </c>
    </row>
    <row r="188" spans="1:7" x14ac:dyDescent="0.2">
      <c r="A188" s="2">
        <v>45744</v>
      </c>
      <c r="B188" s="1">
        <v>217.9</v>
      </c>
      <c r="C188">
        <f t="shared" si="10"/>
        <v>220.73393309294892</v>
      </c>
      <c r="D188">
        <f t="shared" si="12"/>
        <v>224.82321838362577</v>
      </c>
      <c r="E188">
        <f t="shared" si="11"/>
        <v>-4.0892852906768553</v>
      </c>
      <c r="F188">
        <f t="shared" si="14"/>
        <v>-4.7874808970685532</v>
      </c>
      <c r="G188">
        <f t="shared" si="13"/>
        <v>0.69819560639169786</v>
      </c>
    </row>
    <row r="189" spans="1:7" x14ac:dyDescent="0.2">
      <c r="A189" s="2">
        <v>45747</v>
      </c>
      <c r="B189" s="1">
        <v>222.13</v>
      </c>
      <c r="C189">
        <f t="shared" si="10"/>
        <v>220.94871261711063</v>
      </c>
      <c r="D189">
        <f t="shared" si="12"/>
        <v>224.6237207255794</v>
      </c>
      <c r="E189">
        <f t="shared" si="11"/>
        <v>-3.6750081084687736</v>
      </c>
      <c r="F189">
        <f t="shared" si="14"/>
        <v>-4.5649863393485974</v>
      </c>
      <c r="G189">
        <f t="shared" si="13"/>
        <v>0.88997823087982386</v>
      </c>
    </row>
  </sheetData>
  <pageMargins left="0.7" right="0.7" top="0.75" bottom="0.75" header="0.3" footer="0.3"/>
  <ignoredErrors>
    <ignoredError sqref="C13 D27" formulaRange="1"/>
    <ignoredError sqref="F36:F40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04DE4-42FF-FC4F-91DA-72384B3F03E9}">
  <dimension ref="A1:I189"/>
  <sheetViews>
    <sheetView workbookViewId="0">
      <selection activeCell="A30" sqref="A30"/>
    </sheetView>
  </sheetViews>
  <sheetFormatPr baseColWidth="10" defaultRowHeight="16" x14ac:dyDescent="0.2"/>
  <sheetData>
    <row r="1" spans="1:9" x14ac:dyDescent="0.2">
      <c r="A1" s="1" t="s">
        <v>0</v>
      </c>
      <c r="B1" s="1" t="s">
        <v>1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</row>
    <row r="2" spans="1:9" x14ac:dyDescent="0.2">
      <c r="A2" s="2">
        <v>45474</v>
      </c>
      <c r="B2" s="1">
        <v>216.75</v>
      </c>
    </row>
    <row r="3" spans="1:9" x14ac:dyDescent="0.2">
      <c r="A3" s="2">
        <v>45475</v>
      </c>
      <c r="B3" s="1">
        <v>220.27</v>
      </c>
      <c r="C3">
        <f>B3-B2</f>
        <v>3.5200000000000102</v>
      </c>
      <c r="D3">
        <f>IF(C3&gt;0,C3,0)</f>
        <v>3.5200000000000102</v>
      </c>
      <c r="E3">
        <f>IF(C3&lt;0,-C3,0)</f>
        <v>0</v>
      </c>
    </row>
    <row r="4" spans="1:9" x14ac:dyDescent="0.2">
      <c r="A4" s="2">
        <v>45476</v>
      </c>
      <c r="B4" s="1">
        <v>221.55</v>
      </c>
      <c r="C4">
        <f t="shared" ref="C4:C67" si="0">B4-B3</f>
        <v>1.2800000000000011</v>
      </c>
      <c r="D4">
        <f t="shared" ref="D4:D67" si="1">IF(C4&gt;0,C4,0)</f>
        <v>1.2800000000000011</v>
      </c>
      <c r="E4">
        <f t="shared" ref="E4:E67" si="2">IF(C4&lt;0,-C4,0)</f>
        <v>0</v>
      </c>
    </row>
    <row r="5" spans="1:9" x14ac:dyDescent="0.2">
      <c r="A5" s="2">
        <v>45478</v>
      </c>
      <c r="B5" s="1">
        <v>226.34</v>
      </c>
      <c r="C5">
        <f t="shared" si="0"/>
        <v>4.789999999999992</v>
      </c>
      <c r="D5">
        <f t="shared" si="1"/>
        <v>4.789999999999992</v>
      </c>
      <c r="E5">
        <f t="shared" si="2"/>
        <v>0</v>
      </c>
    </row>
    <row r="6" spans="1:9" x14ac:dyDescent="0.2">
      <c r="A6" s="2">
        <v>45481</v>
      </c>
      <c r="B6" s="1">
        <v>227.82</v>
      </c>
      <c r="C6">
        <f t="shared" si="0"/>
        <v>1.4799999999999898</v>
      </c>
      <c r="D6">
        <f t="shared" si="1"/>
        <v>1.4799999999999898</v>
      </c>
      <c r="E6">
        <f t="shared" si="2"/>
        <v>0</v>
      </c>
    </row>
    <row r="7" spans="1:9" x14ac:dyDescent="0.2">
      <c r="A7" s="2">
        <v>45482</v>
      </c>
      <c r="B7" s="1">
        <v>228.68</v>
      </c>
      <c r="C7">
        <f t="shared" si="0"/>
        <v>0.86000000000001364</v>
      </c>
      <c r="D7">
        <f t="shared" si="1"/>
        <v>0.86000000000001364</v>
      </c>
      <c r="E7">
        <f t="shared" si="2"/>
        <v>0</v>
      </c>
    </row>
    <row r="8" spans="1:9" x14ac:dyDescent="0.2">
      <c r="A8" s="2">
        <v>45483</v>
      </c>
      <c r="B8" s="1">
        <v>232.98</v>
      </c>
      <c r="C8">
        <f t="shared" si="0"/>
        <v>4.2999999999999829</v>
      </c>
      <c r="D8">
        <f t="shared" si="1"/>
        <v>4.2999999999999829</v>
      </c>
      <c r="E8">
        <f t="shared" si="2"/>
        <v>0</v>
      </c>
    </row>
    <row r="9" spans="1:9" x14ac:dyDescent="0.2">
      <c r="A9" s="2">
        <v>45484</v>
      </c>
      <c r="B9" s="1">
        <v>227.57</v>
      </c>
      <c r="C9">
        <f t="shared" si="0"/>
        <v>-5.4099999999999966</v>
      </c>
      <c r="D9">
        <f t="shared" si="1"/>
        <v>0</v>
      </c>
      <c r="E9">
        <f t="shared" si="2"/>
        <v>5.4099999999999966</v>
      </c>
    </row>
    <row r="10" spans="1:9" x14ac:dyDescent="0.2">
      <c r="A10" s="2">
        <v>45485</v>
      </c>
      <c r="B10" s="1">
        <v>230.54</v>
      </c>
      <c r="C10">
        <f t="shared" si="0"/>
        <v>2.9699999999999989</v>
      </c>
      <c r="D10">
        <f t="shared" si="1"/>
        <v>2.9699999999999989</v>
      </c>
      <c r="E10">
        <f t="shared" si="2"/>
        <v>0</v>
      </c>
    </row>
    <row r="11" spans="1:9" x14ac:dyDescent="0.2">
      <c r="A11" s="2">
        <v>45488</v>
      </c>
      <c r="B11" s="1">
        <v>234.4</v>
      </c>
      <c r="C11">
        <f t="shared" si="0"/>
        <v>3.8600000000000136</v>
      </c>
      <c r="D11">
        <f t="shared" si="1"/>
        <v>3.8600000000000136</v>
      </c>
      <c r="E11">
        <f t="shared" si="2"/>
        <v>0</v>
      </c>
      <c r="F11">
        <f>SUM(D2:D11)/14</f>
        <v>1.6471428571428572</v>
      </c>
      <c r="G11">
        <f>SUM(E2:E11)/14</f>
        <v>0.38642857142857118</v>
      </c>
      <c r="H11">
        <f>F11/G11</f>
        <v>4.2624768946395593</v>
      </c>
      <c r="I11">
        <f>IF(G11=0,100,100-(100/(1+H11)))</f>
        <v>80.997541271513882</v>
      </c>
    </row>
    <row r="12" spans="1:9" x14ac:dyDescent="0.2">
      <c r="A12" s="2">
        <v>45489</v>
      </c>
      <c r="B12" s="1">
        <v>234.82</v>
      </c>
      <c r="C12">
        <f t="shared" si="0"/>
        <v>0.41999999999998749</v>
      </c>
      <c r="D12">
        <f t="shared" si="1"/>
        <v>0.41999999999998749</v>
      </c>
      <c r="E12">
        <f t="shared" si="2"/>
        <v>0</v>
      </c>
      <c r="F12">
        <f t="shared" ref="F12:F75" si="3">SUM(D3:D12)/14</f>
        <v>1.6771428571428564</v>
      </c>
      <c r="G12">
        <f t="shared" ref="G12:G75" si="4">SUM(E3:E12)/14</f>
        <v>0.38642857142857118</v>
      </c>
      <c r="H12">
        <f t="shared" ref="H12:H75" si="5">F12/G12</f>
        <v>4.3401109057301301</v>
      </c>
      <c r="I12">
        <f t="shared" ref="I12:I75" si="6">IF(G12=0,100,100-(100/(1+H12)))</f>
        <v>81.273797161647636</v>
      </c>
    </row>
    <row r="13" spans="1:9" x14ac:dyDescent="0.2">
      <c r="A13" s="2">
        <v>45490</v>
      </c>
      <c r="B13" s="1">
        <v>228.88</v>
      </c>
      <c r="C13">
        <f t="shared" si="0"/>
        <v>-5.9399999999999977</v>
      </c>
      <c r="D13">
        <f t="shared" si="1"/>
        <v>0</v>
      </c>
      <c r="E13">
        <f t="shared" si="2"/>
        <v>5.9399999999999977</v>
      </c>
      <c r="F13">
        <f t="shared" si="3"/>
        <v>1.4257142857142842</v>
      </c>
      <c r="G13">
        <f t="shared" si="4"/>
        <v>0.81071428571428528</v>
      </c>
      <c r="H13">
        <f t="shared" si="5"/>
        <v>1.7585903083700432</v>
      </c>
      <c r="I13">
        <f t="shared" si="6"/>
        <v>63.749600766528253</v>
      </c>
    </row>
    <row r="14" spans="1:9" x14ac:dyDescent="0.2">
      <c r="A14" s="2">
        <v>45491</v>
      </c>
      <c r="B14" s="1">
        <v>224.18</v>
      </c>
      <c r="C14">
        <f t="shared" si="0"/>
        <v>-4.6999999999999886</v>
      </c>
      <c r="D14">
        <f t="shared" si="1"/>
        <v>0</v>
      </c>
      <c r="E14">
        <f t="shared" si="2"/>
        <v>4.6999999999999886</v>
      </c>
      <c r="F14">
        <f t="shared" si="3"/>
        <v>1.3342857142857127</v>
      </c>
      <c r="G14">
        <f t="shared" si="4"/>
        <v>1.1464285714285702</v>
      </c>
      <c r="H14">
        <f t="shared" si="5"/>
        <v>1.1638629283489095</v>
      </c>
      <c r="I14">
        <f t="shared" si="6"/>
        <v>53.786351857183995</v>
      </c>
    </row>
    <row r="15" spans="1:9" x14ac:dyDescent="0.2">
      <c r="A15" s="2">
        <v>45492</v>
      </c>
      <c r="B15" s="1">
        <v>224.31</v>
      </c>
      <c r="C15">
        <f t="shared" si="0"/>
        <v>0.12999999999999545</v>
      </c>
      <c r="D15">
        <f t="shared" si="1"/>
        <v>0.12999999999999545</v>
      </c>
      <c r="E15">
        <f t="shared" si="2"/>
        <v>0</v>
      </c>
      <c r="F15">
        <f t="shared" si="3"/>
        <v>1.0014285714285702</v>
      </c>
      <c r="G15">
        <f t="shared" si="4"/>
        <v>1.1464285714285702</v>
      </c>
      <c r="H15">
        <f t="shared" si="5"/>
        <v>0.87352024922118365</v>
      </c>
      <c r="I15">
        <f t="shared" si="6"/>
        <v>46.624542733621546</v>
      </c>
    </row>
    <row r="16" spans="1:9" x14ac:dyDescent="0.2">
      <c r="A16" s="2">
        <v>45495</v>
      </c>
      <c r="B16" s="1">
        <v>223.96</v>
      </c>
      <c r="C16">
        <f t="shared" si="0"/>
        <v>-0.34999999999999432</v>
      </c>
      <c r="D16">
        <f t="shared" si="1"/>
        <v>0</v>
      </c>
      <c r="E16">
        <f t="shared" si="2"/>
        <v>0.34999999999999432</v>
      </c>
      <c r="F16">
        <f t="shared" si="3"/>
        <v>0.89571428571428513</v>
      </c>
      <c r="G16">
        <f t="shared" si="4"/>
        <v>1.1714285714285697</v>
      </c>
      <c r="H16">
        <f t="shared" si="5"/>
        <v>0.76463414634146398</v>
      </c>
      <c r="I16">
        <f t="shared" si="6"/>
        <v>43.331029716655166</v>
      </c>
    </row>
    <row r="17" spans="1:9" x14ac:dyDescent="0.2">
      <c r="A17" s="2">
        <v>45496</v>
      </c>
      <c r="B17" s="1">
        <v>225.01</v>
      </c>
      <c r="C17">
        <f t="shared" si="0"/>
        <v>1.0499999999999829</v>
      </c>
      <c r="D17">
        <f t="shared" si="1"/>
        <v>1.0499999999999829</v>
      </c>
      <c r="E17">
        <f t="shared" si="2"/>
        <v>0</v>
      </c>
      <c r="F17">
        <f t="shared" si="3"/>
        <v>0.90928571428571148</v>
      </c>
      <c r="G17">
        <f t="shared" si="4"/>
        <v>1.1714285714285697</v>
      </c>
      <c r="H17">
        <f t="shared" si="5"/>
        <v>0.77621951219512064</v>
      </c>
      <c r="I17">
        <f t="shared" si="6"/>
        <v>43.700652248540983</v>
      </c>
    </row>
    <row r="18" spans="1:9" x14ac:dyDescent="0.2">
      <c r="A18" s="2">
        <v>45497</v>
      </c>
      <c r="B18" s="1">
        <v>218.54</v>
      </c>
      <c r="C18">
        <f t="shared" si="0"/>
        <v>-6.4699999999999989</v>
      </c>
      <c r="D18">
        <f t="shared" si="1"/>
        <v>0</v>
      </c>
      <c r="E18">
        <f t="shared" si="2"/>
        <v>6.4699999999999989</v>
      </c>
      <c r="F18">
        <f t="shared" si="3"/>
        <v>0.60214285714285565</v>
      </c>
      <c r="G18">
        <f t="shared" si="4"/>
        <v>1.6335714285714269</v>
      </c>
      <c r="H18">
        <f t="shared" si="5"/>
        <v>0.36860515959772572</v>
      </c>
      <c r="I18">
        <f t="shared" si="6"/>
        <v>26.932907348242779</v>
      </c>
    </row>
    <row r="19" spans="1:9" x14ac:dyDescent="0.2">
      <c r="A19" s="2">
        <v>45498</v>
      </c>
      <c r="B19" s="1">
        <v>217.49</v>
      </c>
      <c r="C19">
        <f t="shared" si="0"/>
        <v>-1.0499999999999829</v>
      </c>
      <c r="D19">
        <f t="shared" si="1"/>
        <v>0</v>
      </c>
      <c r="E19">
        <f t="shared" si="2"/>
        <v>1.0499999999999829</v>
      </c>
      <c r="F19">
        <f t="shared" si="3"/>
        <v>0.60214285714285565</v>
      </c>
      <c r="G19">
        <f t="shared" si="4"/>
        <v>1.3221428571428544</v>
      </c>
      <c r="H19">
        <f t="shared" si="5"/>
        <v>0.45542949756888151</v>
      </c>
      <c r="I19">
        <f t="shared" si="6"/>
        <v>31.291759465478833</v>
      </c>
    </row>
    <row r="20" spans="1:9" x14ac:dyDescent="0.2">
      <c r="A20" s="2">
        <v>45499</v>
      </c>
      <c r="B20" s="1">
        <v>217.96</v>
      </c>
      <c r="C20">
        <f t="shared" si="0"/>
        <v>0.46999999999999886</v>
      </c>
      <c r="D20">
        <f t="shared" si="1"/>
        <v>0.46999999999999886</v>
      </c>
      <c r="E20">
        <f t="shared" si="2"/>
        <v>0</v>
      </c>
      <c r="F20">
        <f t="shared" si="3"/>
        <v>0.42357142857142704</v>
      </c>
      <c r="G20">
        <f t="shared" si="4"/>
        <v>1.3221428571428544</v>
      </c>
      <c r="H20">
        <f t="shared" si="5"/>
        <v>0.32036736898973478</v>
      </c>
      <c r="I20">
        <f t="shared" si="6"/>
        <v>24.263502454991794</v>
      </c>
    </row>
    <row r="21" spans="1:9" x14ac:dyDescent="0.2">
      <c r="A21" s="2">
        <v>45502</v>
      </c>
      <c r="B21" s="1">
        <v>218.24</v>
      </c>
      <c r="C21">
        <f t="shared" si="0"/>
        <v>0.28000000000000114</v>
      </c>
      <c r="D21">
        <f t="shared" si="1"/>
        <v>0.28000000000000114</v>
      </c>
      <c r="E21">
        <f t="shared" si="2"/>
        <v>0</v>
      </c>
      <c r="F21">
        <f t="shared" si="3"/>
        <v>0.16785714285714043</v>
      </c>
      <c r="G21">
        <f t="shared" si="4"/>
        <v>1.3221428571428544</v>
      </c>
      <c r="H21">
        <f t="shared" si="5"/>
        <v>0.12695840086439605</v>
      </c>
      <c r="I21">
        <f t="shared" si="6"/>
        <v>11.265580057526236</v>
      </c>
    </row>
    <row r="22" spans="1:9" x14ac:dyDescent="0.2">
      <c r="A22" s="2">
        <v>45503</v>
      </c>
      <c r="B22" s="1">
        <v>218.8</v>
      </c>
      <c r="C22">
        <f t="shared" si="0"/>
        <v>0.56000000000000227</v>
      </c>
      <c r="D22">
        <f t="shared" si="1"/>
        <v>0.56000000000000227</v>
      </c>
      <c r="E22">
        <f t="shared" si="2"/>
        <v>0</v>
      </c>
      <c r="F22">
        <f t="shared" si="3"/>
        <v>0.17785714285714146</v>
      </c>
      <c r="G22">
        <f t="shared" si="4"/>
        <v>1.3221428571428544</v>
      </c>
      <c r="H22">
        <f t="shared" si="5"/>
        <v>0.13452188006482904</v>
      </c>
      <c r="I22">
        <f t="shared" si="6"/>
        <v>11.857142857142804</v>
      </c>
    </row>
    <row r="23" spans="1:9" x14ac:dyDescent="0.2">
      <c r="A23" s="2">
        <v>45504</v>
      </c>
      <c r="B23" s="1">
        <v>222.08</v>
      </c>
      <c r="C23">
        <f t="shared" si="0"/>
        <v>3.2800000000000011</v>
      </c>
      <c r="D23">
        <f t="shared" si="1"/>
        <v>3.2800000000000011</v>
      </c>
      <c r="E23">
        <f t="shared" si="2"/>
        <v>0</v>
      </c>
      <c r="F23">
        <f t="shared" si="3"/>
        <v>0.41214285714285587</v>
      </c>
      <c r="G23">
        <f t="shared" si="4"/>
        <v>0.89785714285714036</v>
      </c>
      <c r="H23">
        <f t="shared" si="5"/>
        <v>0.45902943516308659</v>
      </c>
      <c r="I23">
        <f t="shared" si="6"/>
        <v>31.461286804798249</v>
      </c>
    </row>
    <row r="24" spans="1:9" x14ac:dyDescent="0.2">
      <c r="A24" s="2">
        <v>45505</v>
      </c>
      <c r="B24" s="1">
        <v>218.36</v>
      </c>
      <c r="C24">
        <f t="shared" si="0"/>
        <v>-3.7199999999999989</v>
      </c>
      <c r="D24">
        <f t="shared" si="1"/>
        <v>0</v>
      </c>
      <c r="E24">
        <f t="shared" si="2"/>
        <v>3.7199999999999989</v>
      </c>
      <c r="F24">
        <f t="shared" si="3"/>
        <v>0.41214285714285587</v>
      </c>
      <c r="G24">
        <f t="shared" si="4"/>
        <v>0.82785714285714107</v>
      </c>
      <c r="H24">
        <f t="shared" si="5"/>
        <v>0.49784296807592704</v>
      </c>
      <c r="I24">
        <f t="shared" si="6"/>
        <v>33.237327188940071</v>
      </c>
    </row>
    <row r="25" spans="1:9" x14ac:dyDescent="0.2">
      <c r="A25" s="2">
        <v>45506</v>
      </c>
      <c r="B25" s="1">
        <v>219.86</v>
      </c>
      <c r="C25">
        <f t="shared" si="0"/>
        <v>1.5</v>
      </c>
      <c r="D25">
        <f t="shared" si="1"/>
        <v>1.5</v>
      </c>
      <c r="E25">
        <f t="shared" si="2"/>
        <v>0</v>
      </c>
      <c r="F25">
        <f t="shared" si="3"/>
        <v>0.50999999999999901</v>
      </c>
      <c r="G25">
        <f t="shared" si="4"/>
        <v>0.82785714285714107</v>
      </c>
      <c r="H25">
        <f t="shared" si="5"/>
        <v>0.61604831751509936</v>
      </c>
      <c r="I25">
        <f t="shared" si="6"/>
        <v>38.120662039508808</v>
      </c>
    </row>
    <row r="26" spans="1:9" x14ac:dyDescent="0.2">
      <c r="A26" s="2">
        <v>45509</v>
      </c>
      <c r="B26" s="1">
        <v>209.27</v>
      </c>
      <c r="C26">
        <f t="shared" si="0"/>
        <v>-10.590000000000003</v>
      </c>
      <c r="D26">
        <f t="shared" si="1"/>
        <v>0</v>
      </c>
      <c r="E26">
        <f t="shared" si="2"/>
        <v>10.590000000000003</v>
      </c>
      <c r="F26">
        <f t="shared" si="3"/>
        <v>0.50999999999999901</v>
      </c>
      <c r="G26">
        <f t="shared" si="4"/>
        <v>1.5592857142857131</v>
      </c>
      <c r="H26">
        <f t="shared" si="5"/>
        <v>0.32707283554741146</v>
      </c>
      <c r="I26">
        <f t="shared" si="6"/>
        <v>24.646185709354484</v>
      </c>
    </row>
    <row r="27" spans="1:9" x14ac:dyDescent="0.2">
      <c r="A27" s="2">
        <v>45510</v>
      </c>
      <c r="B27" s="1">
        <v>207.23</v>
      </c>
      <c r="C27">
        <f t="shared" si="0"/>
        <v>-2.0400000000000205</v>
      </c>
      <c r="D27">
        <f t="shared" si="1"/>
        <v>0</v>
      </c>
      <c r="E27">
        <f t="shared" si="2"/>
        <v>2.0400000000000205</v>
      </c>
      <c r="F27">
        <f t="shared" si="3"/>
        <v>0.43500000000000022</v>
      </c>
      <c r="G27">
        <f t="shared" si="4"/>
        <v>1.7050000000000003</v>
      </c>
      <c r="H27">
        <f t="shared" si="5"/>
        <v>0.25513196480938427</v>
      </c>
      <c r="I27">
        <f t="shared" si="6"/>
        <v>20.327102803738327</v>
      </c>
    </row>
    <row r="28" spans="1:9" x14ac:dyDescent="0.2">
      <c r="A28" s="2">
        <v>45511</v>
      </c>
      <c r="B28" s="1">
        <v>209.82</v>
      </c>
      <c r="C28">
        <f t="shared" si="0"/>
        <v>2.5900000000000034</v>
      </c>
      <c r="D28">
        <f t="shared" si="1"/>
        <v>2.5900000000000034</v>
      </c>
      <c r="E28">
        <f t="shared" si="2"/>
        <v>0</v>
      </c>
      <c r="F28">
        <f t="shared" si="3"/>
        <v>0.62000000000000044</v>
      </c>
      <c r="G28">
        <f t="shared" si="4"/>
        <v>1.2428571428571433</v>
      </c>
      <c r="H28">
        <f t="shared" si="5"/>
        <v>0.49885057471264382</v>
      </c>
      <c r="I28">
        <f t="shared" si="6"/>
        <v>33.282208588957062</v>
      </c>
    </row>
    <row r="29" spans="1:9" x14ac:dyDescent="0.2">
      <c r="A29" s="2">
        <v>45512</v>
      </c>
      <c r="B29" s="1">
        <v>213.31</v>
      </c>
      <c r="C29">
        <f t="shared" si="0"/>
        <v>3.4900000000000091</v>
      </c>
      <c r="D29">
        <f t="shared" si="1"/>
        <v>3.4900000000000091</v>
      </c>
      <c r="E29">
        <f t="shared" si="2"/>
        <v>0</v>
      </c>
      <c r="F29">
        <f t="shared" si="3"/>
        <v>0.86928571428571544</v>
      </c>
      <c r="G29">
        <f t="shared" si="4"/>
        <v>1.1678571428571445</v>
      </c>
      <c r="H29">
        <f t="shared" si="5"/>
        <v>0.74434250764525989</v>
      </c>
      <c r="I29">
        <f t="shared" si="6"/>
        <v>42.671809256661987</v>
      </c>
    </row>
    <row r="30" spans="1:9" x14ac:dyDescent="0.2">
      <c r="A30" s="2">
        <v>45513</v>
      </c>
      <c r="B30" s="1">
        <v>216.24</v>
      </c>
      <c r="C30">
        <f t="shared" si="0"/>
        <v>2.9300000000000068</v>
      </c>
      <c r="D30">
        <f t="shared" si="1"/>
        <v>2.9300000000000068</v>
      </c>
      <c r="E30">
        <f t="shared" si="2"/>
        <v>0</v>
      </c>
      <c r="F30">
        <f t="shared" si="3"/>
        <v>1.0450000000000017</v>
      </c>
      <c r="G30">
        <f t="shared" si="4"/>
        <v>1.1678571428571445</v>
      </c>
      <c r="H30">
        <f t="shared" si="5"/>
        <v>0.89480122324159039</v>
      </c>
      <c r="I30">
        <f t="shared" si="6"/>
        <v>47.224015493867014</v>
      </c>
    </row>
    <row r="31" spans="1:9" x14ac:dyDescent="0.2">
      <c r="A31" s="2">
        <v>45516</v>
      </c>
      <c r="B31" s="1">
        <v>217.53</v>
      </c>
      <c r="C31">
        <f t="shared" si="0"/>
        <v>1.289999999999992</v>
      </c>
      <c r="D31">
        <f t="shared" si="1"/>
        <v>1.289999999999992</v>
      </c>
      <c r="E31">
        <f t="shared" si="2"/>
        <v>0</v>
      </c>
      <c r="F31">
        <f t="shared" si="3"/>
        <v>1.1171428571428581</v>
      </c>
      <c r="G31">
        <f t="shared" si="4"/>
        <v>1.1678571428571445</v>
      </c>
      <c r="H31">
        <f t="shared" si="5"/>
        <v>0.95657492354740015</v>
      </c>
      <c r="I31">
        <f t="shared" si="6"/>
        <v>48.890278211941222</v>
      </c>
    </row>
    <row r="32" spans="1:9" x14ac:dyDescent="0.2">
      <c r="A32" s="2">
        <v>45517</v>
      </c>
      <c r="B32" s="1">
        <v>221.27</v>
      </c>
      <c r="C32">
        <f t="shared" si="0"/>
        <v>3.7400000000000091</v>
      </c>
      <c r="D32">
        <f t="shared" si="1"/>
        <v>3.7400000000000091</v>
      </c>
      <c r="E32">
        <f t="shared" si="2"/>
        <v>0</v>
      </c>
      <c r="F32">
        <f t="shared" si="3"/>
        <v>1.3442857142857159</v>
      </c>
      <c r="G32">
        <f t="shared" si="4"/>
        <v>1.1678571428571445</v>
      </c>
      <c r="H32">
        <f t="shared" si="5"/>
        <v>1.151070336391437</v>
      </c>
      <c r="I32">
        <f t="shared" si="6"/>
        <v>53.5115154961615</v>
      </c>
    </row>
    <row r="33" spans="1:9" x14ac:dyDescent="0.2">
      <c r="A33" s="2">
        <v>45518</v>
      </c>
      <c r="B33" s="1">
        <v>221.72</v>
      </c>
      <c r="C33">
        <f t="shared" si="0"/>
        <v>0.44999999999998863</v>
      </c>
      <c r="D33">
        <f t="shared" si="1"/>
        <v>0.44999999999998863</v>
      </c>
      <c r="E33">
        <f t="shared" si="2"/>
        <v>0</v>
      </c>
      <c r="F33">
        <f t="shared" si="3"/>
        <v>1.1421428571428578</v>
      </c>
      <c r="G33">
        <f t="shared" si="4"/>
        <v>1.1678571428571445</v>
      </c>
      <c r="H33">
        <f t="shared" si="5"/>
        <v>0.97798165137614601</v>
      </c>
      <c r="I33">
        <f t="shared" si="6"/>
        <v>49.443413729127997</v>
      </c>
    </row>
    <row r="34" spans="1:9" x14ac:dyDescent="0.2">
      <c r="A34" s="2">
        <v>45519</v>
      </c>
      <c r="B34" s="1">
        <v>224.72</v>
      </c>
      <c r="C34">
        <f t="shared" si="0"/>
        <v>3</v>
      </c>
      <c r="D34">
        <f t="shared" si="1"/>
        <v>3</v>
      </c>
      <c r="E34">
        <f t="shared" si="2"/>
        <v>0</v>
      </c>
      <c r="F34">
        <f t="shared" si="3"/>
        <v>1.356428571428572</v>
      </c>
      <c r="G34">
        <f t="shared" si="4"/>
        <v>0.9021428571428588</v>
      </c>
      <c r="H34">
        <f t="shared" si="5"/>
        <v>1.5035629453681689</v>
      </c>
      <c r="I34">
        <f t="shared" si="6"/>
        <v>60.056925996204903</v>
      </c>
    </row>
    <row r="35" spans="1:9" x14ac:dyDescent="0.2">
      <c r="A35" s="2">
        <v>45520</v>
      </c>
      <c r="B35" s="1">
        <v>226.05</v>
      </c>
      <c r="C35">
        <f t="shared" si="0"/>
        <v>1.3300000000000125</v>
      </c>
      <c r="D35">
        <f t="shared" si="1"/>
        <v>1.3300000000000125</v>
      </c>
      <c r="E35">
        <f t="shared" si="2"/>
        <v>0</v>
      </c>
      <c r="F35">
        <f t="shared" si="3"/>
        <v>1.3442857142857159</v>
      </c>
      <c r="G35">
        <f t="shared" si="4"/>
        <v>0.9021428571428588</v>
      </c>
      <c r="H35">
        <f t="shared" si="5"/>
        <v>1.4901029295328574</v>
      </c>
      <c r="I35">
        <f t="shared" si="6"/>
        <v>59.841017488076297</v>
      </c>
    </row>
    <row r="36" spans="1:9" x14ac:dyDescent="0.2">
      <c r="A36" s="2">
        <v>45523</v>
      </c>
      <c r="B36" s="1">
        <v>225.89</v>
      </c>
      <c r="C36">
        <f t="shared" si="0"/>
        <v>-0.16000000000002501</v>
      </c>
      <c r="D36">
        <f t="shared" si="1"/>
        <v>0</v>
      </c>
      <c r="E36">
        <f t="shared" si="2"/>
        <v>0.16000000000002501</v>
      </c>
      <c r="F36">
        <f t="shared" si="3"/>
        <v>1.3442857142857159</v>
      </c>
      <c r="G36">
        <f t="shared" si="4"/>
        <v>0.15714285714286039</v>
      </c>
      <c r="H36">
        <f t="shared" si="5"/>
        <v>8.5545454545452877</v>
      </c>
      <c r="I36">
        <f t="shared" si="6"/>
        <v>89.533777354899911</v>
      </c>
    </row>
    <row r="37" spans="1:9" x14ac:dyDescent="0.2">
      <c r="A37" s="2">
        <v>45524</v>
      </c>
      <c r="B37" s="1">
        <v>226.51</v>
      </c>
      <c r="C37">
        <f t="shared" si="0"/>
        <v>0.62000000000000455</v>
      </c>
      <c r="D37">
        <f t="shared" si="1"/>
        <v>0.62000000000000455</v>
      </c>
      <c r="E37">
        <f t="shared" si="2"/>
        <v>0</v>
      </c>
      <c r="F37">
        <f t="shared" si="3"/>
        <v>1.3885714285714303</v>
      </c>
      <c r="G37">
        <f t="shared" si="4"/>
        <v>1.1428571428573215E-2</v>
      </c>
      <c r="H37">
        <f t="shared" si="5"/>
        <v>121.49999999998116</v>
      </c>
      <c r="I37">
        <f t="shared" si="6"/>
        <v>99.183673469387628</v>
      </c>
    </row>
    <row r="38" spans="1:9" x14ac:dyDescent="0.2">
      <c r="A38" s="2">
        <v>45525</v>
      </c>
      <c r="B38" s="1">
        <v>226.4</v>
      </c>
      <c r="C38">
        <f t="shared" si="0"/>
        <v>-0.10999999999998522</v>
      </c>
      <c r="D38">
        <f t="shared" si="1"/>
        <v>0</v>
      </c>
      <c r="E38">
        <f t="shared" si="2"/>
        <v>0.10999999999998522</v>
      </c>
      <c r="F38">
        <f t="shared" si="3"/>
        <v>1.2035714285714303</v>
      </c>
      <c r="G38">
        <f t="shared" si="4"/>
        <v>1.9285714285715017E-2</v>
      </c>
      <c r="H38">
        <f t="shared" si="5"/>
        <v>62.407407407405131</v>
      </c>
      <c r="I38">
        <f t="shared" si="6"/>
        <v>98.42289719626163</v>
      </c>
    </row>
    <row r="39" spans="1:9" x14ac:dyDescent="0.2">
      <c r="A39" s="2">
        <v>45526</v>
      </c>
      <c r="B39" s="1">
        <v>224.53</v>
      </c>
      <c r="C39">
        <f t="shared" si="0"/>
        <v>-1.8700000000000045</v>
      </c>
      <c r="D39">
        <f t="shared" si="1"/>
        <v>0</v>
      </c>
      <c r="E39">
        <f t="shared" si="2"/>
        <v>1.8700000000000045</v>
      </c>
      <c r="F39">
        <f t="shared" si="3"/>
        <v>0.95428571428571529</v>
      </c>
      <c r="G39">
        <f t="shared" si="4"/>
        <v>0.15285714285714391</v>
      </c>
      <c r="H39">
        <f t="shared" si="5"/>
        <v>6.2429906542055713</v>
      </c>
      <c r="I39">
        <f t="shared" si="6"/>
        <v>86.193548387096712</v>
      </c>
    </row>
    <row r="40" spans="1:9" x14ac:dyDescent="0.2">
      <c r="A40" s="2">
        <v>45527</v>
      </c>
      <c r="B40" s="1">
        <v>226.84</v>
      </c>
      <c r="C40">
        <f t="shared" si="0"/>
        <v>2.3100000000000023</v>
      </c>
      <c r="D40">
        <f t="shared" si="1"/>
        <v>2.3100000000000023</v>
      </c>
      <c r="E40">
        <f t="shared" si="2"/>
        <v>0</v>
      </c>
      <c r="F40">
        <f t="shared" si="3"/>
        <v>0.9100000000000007</v>
      </c>
      <c r="G40">
        <f t="shared" si="4"/>
        <v>0.15285714285714391</v>
      </c>
      <c r="H40">
        <f t="shared" si="5"/>
        <v>5.9532710280373466</v>
      </c>
      <c r="I40">
        <f t="shared" si="6"/>
        <v>85.618279569892394</v>
      </c>
    </row>
    <row r="41" spans="1:9" x14ac:dyDescent="0.2">
      <c r="A41" s="2">
        <v>45530</v>
      </c>
      <c r="B41" s="1">
        <v>227.18</v>
      </c>
      <c r="C41">
        <f t="shared" si="0"/>
        <v>0.34000000000000341</v>
      </c>
      <c r="D41">
        <f t="shared" si="1"/>
        <v>0.34000000000000341</v>
      </c>
      <c r="E41">
        <f t="shared" si="2"/>
        <v>0</v>
      </c>
      <c r="F41">
        <f t="shared" si="3"/>
        <v>0.84214285714285864</v>
      </c>
      <c r="G41">
        <f t="shared" si="4"/>
        <v>0.15285714285714391</v>
      </c>
      <c r="H41">
        <f t="shared" si="5"/>
        <v>5.5093457943924955</v>
      </c>
      <c r="I41">
        <f t="shared" si="6"/>
        <v>84.637473079684071</v>
      </c>
    </row>
    <row r="42" spans="1:9" x14ac:dyDescent="0.2">
      <c r="A42" s="2">
        <v>45531</v>
      </c>
      <c r="B42" s="1">
        <v>228.03</v>
      </c>
      <c r="C42">
        <f t="shared" si="0"/>
        <v>0.84999999999999432</v>
      </c>
      <c r="D42">
        <f t="shared" si="1"/>
        <v>0.84999999999999432</v>
      </c>
      <c r="E42">
        <f t="shared" si="2"/>
        <v>0</v>
      </c>
      <c r="F42">
        <f t="shared" si="3"/>
        <v>0.63571428571428612</v>
      </c>
      <c r="G42">
        <f t="shared" si="4"/>
        <v>0.15285714285714391</v>
      </c>
      <c r="H42">
        <f t="shared" si="5"/>
        <v>4.1588785046728711</v>
      </c>
      <c r="I42">
        <f t="shared" si="6"/>
        <v>80.615942028985415</v>
      </c>
    </row>
    <row r="43" spans="1:9" x14ac:dyDescent="0.2">
      <c r="A43" s="2">
        <v>45532</v>
      </c>
      <c r="B43" s="1">
        <v>226.49</v>
      </c>
      <c r="C43">
        <f t="shared" si="0"/>
        <v>-1.539999999999992</v>
      </c>
      <c r="D43">
        <f t="shared" si="1"/>
        <v>0</v>
      </c>
      <c r="E43">
        <f t="shared" si="2"/>
        <v>1.539999999999992</v>
      </c>
      <c r="F43">
        <f t="shared" si="3"/>
        <v>0.60357142857142976</v>
      </c>
      <c r="G43">
        <f t="shared" si="4"/>
        <v>0.26285714285714334</v>
      </c>
      <c r="H43">
        <f t="shared" si="5"/>
        <v>2.2961956521739131</v>
      </c>
      <c r="I43">
        <f t="shared" si="6"/>
        <v>69.661995053586153</v>
      </c>
    </row>
    <row r="44" spans="1:9" x14ac:dyDescent="0.2">
      <c r="A44" s="2">
        <v>45533</v>
      </c>
      <c r="B44" s="1">
        <v>229.79</v>
      </c>
      <c r="C44">
        <f t="shared" si="0"/>
        <v>3.2999999999999829</v>
      </c>
      <c r="D44">
        <f t="shared" si="1"/>
        <v>3.2999999999999829</v>
      </c>
      <c r="E44">
        <f t="shared" si="2"/>
        <v>0</v>
      </c>
      <c r="F44">
        <f t="shared" si="3"/>
        <v>0.625</v>
      </c>
      <c r="G44">
        <f t="shared" si="4"/>
        <v>0.26285714285714334</v>
      </c>
      <c r="H44">
        <f t="shared" si="5"/>
        <v>2.3777173913043432</v>
      </c>
      <c r="I44">
        <f t="shared" si="6"/>
        <v>70.394207562349123</v>
      </c>
    </row>
    <row r="45" spans="1:9" x14ac:dyDescent="0.2">
      <c r="A45" s="2">
        <v>45534</v>
      </c>
      <c r="B45" s="1">
        <v>229</v>
      </c>
      <c r="C45">
        <f t="shared" si="0"/>
        <v>-0.78999999999999204</v>
      </c>
      <c r="D45">
        <f t="shared" si="1"/>
        <v>0</v>
      </c>
      <c r="E45">
        <f t="shared" si="2"/>
        <v>0.78999999999999204</v>
      </c>
      <c r="F45">
        <f t="shared" si="3"/>
        <v>0.52999999999999914</v>
      </c>
      <c r="G45">
        <f t="shared" si="4"/>
        <v>0.31928571428571423</v>
      </c>
      <c r="H45">
        <f t="shared" si="5"/>
        <v>1.659955257270691</v>
      </c>
      <c r="I45">
        <f t="shared" si="6"/>
        <v>62.405382674516368</v>
      </c>
    </row>
    <row r="46" spans="1:9" x14ac:dyDescent="0.2">
      <c r="A46" s="2">
        <v>45538</v>
      </c>
      <c r="B46" s="1">
        <v>222.77</v>
      </c>
      <c r="C46">
        <f t="shared" si="0"/>
        <v>-6.2299999999999898</v>
      </c>
      <c r="D46">
        <f t="shared" si="1"/>
        <v>0</v>
      </c>
      <c r="E46">
        <f t="shared" si="2"/>
        <v>6.2299999999999898</v>
      </c>
      <c r="F46">
        <f t="shared" si="3"/>
        <v>0.52999999999999914</v>
      </c>
      <c r="G46">
        <f t="shared" si="4"/>
        <v>0.75285714285714023</v>
      </c>
      <c r="H46">
        <f t="shared" si="5"/>
        <v>0.70398481973434668</v>
      </c>
      <c r="I46">
        <f t="shared" si="6"/>
        <v>41.314031180400939</v>
      </c>
    </row>
    <row r="47" spans="1:9" x14ac:dyDescent="0.2">
      <c r="A47" s="2">
        <v>45539</v>
      </c>
      <c r="B47" s="1">
        <v>220.85</v>
      </c>
      <c r="C47">
        <f t="shared" si="0"/>
        <v>-1.9200000000000159</v>
      </c>
      <c r="D47">
        <f t="shared" si="1"/>
        <v>0</v>
      </c>
      <c r="E47">
        <f t="shared" si="2"/>
        <v>1.9200000000000159</v>
      </c>
      <c r="F47">
        <f t="shared" si="3"/>
        <v>0.48571428571428449</v>
      </c>
      <c r="G47">
        <f t="shared" si="4"/>
        <v>0.88999999999999857</v>
      </c>
      <c r="H47">
        <f t="shared" si="5"/>
        <v>0.54574638844301715</v>
      </c>
      <c r="I47">
        <f t="shared" si="6"/>
        <v>35.306334371754915</v>
      </c>
    </row>
    <row r="48" spans="1:9" x14ac:dyDescent="0.2">
      <c r="A48" s="2">
        <v>45540</v>
      </c>
      <c r="B48" s="1">
        <v>222.38</v>
      </c>
      <c r="C48">
        <f t="shared" si="0"/>
        <v>1.5300000000000011</v>
      </c>
      <c r="D48">
        <f t="shared" si="1"/>
        <v>1.5300000000000011</v>
      </c>
      <c r="E48">
        <f t="shared" si="2"/>
        <v>0</v>
      </c>
      <c r="F48">
        <f t="shared" si="3"/>
        <v>0.59499999999999886</v>
      </c>
      <c r="G48">
        <f t="shared" si="4"/>
        <v>0.88214285714285678</v>
      </c>
      <c r="H48">
        <f t="shared" si="5"/>
        <v>0.67449392712550504</v>
      </c>
      <c r="I48">
        <f t="shared" si="6"/>
        <v>40.280464216634392</v>
      </c>
    </row>
    <row r="49" spans="1:9" x14ac:dyDescent="0.2">
      <c r="A49" s="2">
        <v>45541</v>
      </c>
      <c r="B49" s="1">
        <v>220.82</v>
      </c>
      <c r="C49">
        <f t="shared" si="0"/>
        <v>-1.5600000000000023</v>
      </c>
      <c r="D49">
        <f t="shared" si="1"/>
        <v>0</v>
      </c>
      <c r="E49">
        <f t="shared" si="2"/>
        <v>1.5600000000000023</v>
      </c>
      <c r="F49">
        <f t="shared" si="3"/>
        <v>0.59499999999999886</v>
      </c>
      <c r="G49">
        <f t="shared" si="4"/>
        <v>0.85999999999999943</v>
      </c>
      <c r="H49">
        <f t="shared" si="5"/>
        <v>0.69186046511627819</v>
      </c>
      <c r="I49">
        <f t="shared" si="6"/>
        <v>40.893470790377975</v>
      </c>
    </row>
    <row r="50" spans="1:9" x14ac:dyDescent="0.2">
      <c r="A50" s="2">
        <v>45544</v>
      </c>
      <c r="B50" s="1">
        <v>220.91</v>
      </c>
      <c r="C50">
        <f t="shared" si="0"/>
        <v>9.0000000000003411E-2</v>
      </c>
      <c r="D50">
        <f t="shared" si="1"/>
        <v>9.0000000000003411E-2</v>
      </c>
      <c r="E50">
        <f t="shared" si="2"/>
        <v>0</v>
      </c>
      <c r="F50">
        <f t="shared" si="3"/>
        <v>0.43642857142857039</v>
      </c>
      <c r="G50">
        <f t="shared" si="4"/>
        <v>0.85999999999999943</v>
      </c>
      <c r="H50">
        <f t="shared" si="5"/>
        <v>0.50747508305647748</v>
      </c>
      <c r="I50">
        <f t="shared" si="6"/>
        <v>33.663911845729999</v>
      </c>
    </row>
    <row r="51" spans="1:9" x14ac:dyDescent="0.2">
      <c r="A51" s="2">
        <v>45545</v>
      </c>
      <c r="B51" s="1">
        <v>220.11</v>
      </c>
      <c r="C51">
        <f t="shared" si="0"/>
        <v>-0.79999999999998295</v>
      </c>
      <c r="D51">
        <f t="shared" si="1"/>
        <v>0</v>
      </c>
      <c r="E51">
        <f t="shared" si="2"/>
        <v>0.79999999999998295</v>
      </c>
      <c r="F51">
        <f t="shared" si="3"/>
        <v>0.41214285714285587</v>
      </c>
      <c r="G51">
        <f t="shared" si="4"/>
        <v>0.91714285714285537</v>
      </c>
      <c r="H51">
        <f t="shared" si="5"/>
        <v>0.44937694704049791</v>
      </c>
      <c r="I51">
        <f t="shared" si="6"/>
        <v>31.004836109618466</v>
      </c>
    </row>
    <row r="52" spans="1:9" x14ac:dyDescent="0.2">
      <c r="A52" s="2">
        <v>45546</v>
      </c>
      <c r="B52" s="1">
        <v>222.66</v>
      </c>
      <c r="C52">
        <f t="shared" si="0"/>
        <v>2.5499999999999829</v>
      </c>
      <c r="D52">
        <f t="shared" si="1"/>
        <v>2.5499999999999829</v>
      </c>
      <c r="E52">
        <f t="shared" si="2"/>
        <v>0</v>
      </c>
      <c r="F52">
        <f t="shared" si="3"/>
        <v>0.53357142857142648</v>
      </c>
      <c r="G52">
        <f t="shared" si="4"/>
        <v>0.91714285714285537</v>
      </c>
      <c r="H52">
        <f t="shared" si="5"/>
        <v>0.58177570093457831</v>
      </c>
      <c r="I52">
        <f t="shared" si="6"/>
        <v>36.779911373707485</v>
      </c>
    </row>
    <row r="53" spans="1:9" x14ac:dyDescent="0.2">
      <c r="A53" s="2">
        <v>45547</v>
      </c>
      <c r="B53" s="1">
        <v>222.77</v>
      </c>
      <c r="C53">
        <f t="shared" si="0"/>
        <v>0.11000000000001364</v>
      </c>
      <c r="D53">
        <f t="shared" si="1"/>
        <v>0.11000000000001364</v>
      </c>
      <c r="E53">
        <f t="shared" si="2"/>
        <v>0</v>
      </c>
      <c r="F53">
        <f t="shared" si="3"/>
        <v>0.54142857142857026</v>
      </c>
      <c r="G53">
        <f t="shared" si="4"/>
        <v>0.80714285714285594</v>
      </c>
      <c r="H53">
        <f t="shared" si="5"/>
        <v>0.67079646017699068</v>
      </c>
      <c r="I53">
        <f t="shared" si="6"/>
        <v>40.148305084745743</v>
      </c>
    </row>
    <row r="54" spans="1:9" x14ac:dyDescent="0.2">
      <c r="A54" s="2">
        <v>45548</v>
      </c>
      <c r="B54" s="1">
        <v>222.5</v>
      </c>
      <c r="C54">
        <f t="shared" si="0"/>
        <v>-0.27000000000001023</v>
      </c>
      <c r="D54">
        <f t="shared" si="1"/>
        <v>0</v>
      </c>
      <c r="E54">
        <f t="shared" si="2"/>
        <v>0.27000000000001023</v>
      </c>
      <c r="F54">
        <f t="shared" si="3"/>
        <v>0.30571428571428577</v>
      </c>
      <c r="G54">
        <f t="shared" si="4"/>
        <v>0.82642857142857096</v>
      </c>
      <c r="H54">
        <f t="shared" si="5"/>
        <v>0.36992221261884212</v>
      </c>
      <c r="I54">
        <f t="shared" si="6"/>
        <v>27.003154574132509</v>
      </c>
    </row>
    <row r="55" spans="1:9" x14ac:dyDescent="0.2">
      <c r="A55" s="2">
        <v>45551</v>
      </c>
      <c r="B55" s="1">
        <v>216.32</v>
      </c>
      <c r="C55">
        <f t="shared" si="0"/>
        <v>-6.1800000000000068</v>
      </c>
      <c r="D55">
        <f t="shared" si="1"/>
        <v>0</v>
      </c>
      <c r="E55">
        <f t="shared" si="2"/>
        <v>6.1800000000000068</v>
      </c>
      <c r="F55">
        <f t="shared" si="3"/>
        <v>0.30571428571428577</v>
      </c>
      <c r="G55">
        <f t="shared" si="4"/>
        <v>1.211428571428572</v>
      </c>
      <c r="H55">
        <f t="shared" si="5"/>
        <v>0.25235849056603765</v>
      </c>
      <c r="I55">
        <f t="shared" si="6"/>
        <v>20.150659133709979</v>
      </c>
    </row>
    <row r="56" spans="1:9" x14ac:dyDescent="0.2">
      <c r="A56" s="2">
        <v>45552</v>
      </c>
      <c r="B56" s="1">
        <v>216.79</v>
      </c>
      <c r="C56">
        <f t="shared" si="0"/>
        <v>0.46999999999999886</v>
      </c>
      <c r="D56">
        <f t="shared" si="1"/>
        <v>0.46999999999999886</v>
      </c>
      <c r="E56">
        <f t="shared" si="2"/>
        <v>0</v>
      </c>
      <c r="F56">
        <f t="shared" si="3"/>
        <v>0.3392857142857143</v>
      </c>
      <c r="G56">
        <f t="shared" si="4"/>
        <v>0.76642857142857268</v>
      </c>
      <c r="H56">
        <f t="shared" si="5"/>
        <v>0.44268406337371785</v>
      </c>
      <c r="I56">
        <f t="shared" si="6"/>
        <v>30.684754521963796</v>
      </c>
    </row>
    <row r="57" spans="1:9" x14ac:dyDescent="0.2">
      <c r="A57" s="2">
        <v>45553</v>
      </c>
      <c r="B57" s="1">
        <v>220.69</v>
      </c>
      <c r="C57">
        <f t="shared" si="0"/>
        <v>3.9000000000000057</v>
      </c>
      <c r="D57">
        <f t="shared" si="1"/>
        <v>3.9000000000000057</v>
      </c>
      <c r="E57">
        <f t="shared" si="2"/>
        <v>0</v>
      </c>
      <c r="F57">
        <f t="shared" si="3"/>
        <v>0.61785714285714322</v>
      </c>
      <c r="G57">
        <f t="shared" si="4"/>
        <v>0.62928571428571445</v>
      </c>
      <c r="H57">
        <f t="shared" si="5"/>
        <v>0.98183881952326935</v>
      </c>
      <c r="I57">
        <f t="shared" si="6"/>
        <v>49.54180985108821</v>
      </c>
    </row>
    <row r="58" spans="1:9" x14ac:dyDescent="0.2">
      <c r="A58" s="2">
        <v>45554</v>
      </c>
      <c r="B58" s="1">
        <v>228.87</v>
      </c>
      <c r="C58">
        <f t="shared" si="0"/>
        <v>8.1800000000000068</v>
      </c>
      <c r="D58">
        <f t="shared" si="1"/>
        <v>8.1800000000000068</v>
      </c>
      <c r="E58">
        <f t="shared" si="2"/>
        <v>0</v>
      </c>
      <c r="F58">
        <f t="shared" si="3"/>
        <v>1.0928571428571436</v>
      </c>
      <c r="G58">
        <f t="shared" si="4"/>
        <v>0.62928571428571445</v>
      </c>
      <c r="H58">
        <f t="shared" si="5"/>
        <v>1.7366628830874016</v>
      </c>
      <c r="I58">
        <f t="shared" si="6"/>
        <v>63.459145582745755</v>
      </c>
    </row>
    <row r="59" spans="1:9" x14ac:dyDescent="0.2">
      <c r="A59" s="2">
        <v>45555</v>
      </c>
      <c r="B59" s="1">
        <v>228.2</v>
      </c>
      <c r="C59">
        <f t="shared" si="0"/>
        <v>-0.67000000000001592</v>
      </c>
      <c r="D59">
        <f t="shared" si="1"/>
        <v>0</v>
      </c>
      <c r="E59">
        <f t="shared" si="2"/>
        <v>0.67000000000001592</v>
      </c>
      <c r="F59">
        <f t="shared" si="3"/>
        <v>1.0928571428571436</v>
      </c>
      <c r="G59">
        <f t="shared" si="4"/>
        <v>0.56571428571428684</v>
      </c>
      <c r="H59">
        <f t="shared" si="5"/>
        <v>1.9318181818181794</v>
      </c>
      <c r="I59">
        <f t="shared" si="6"/>
        <v>65.891472868217022</v>
      </c>
    </row>
    <row r="60" spans="1:9" x14ac:dyDescent="0.2">
      <c r="A60" s="2">
        <v>45558</v>
      </c>
      <c r="B60" s="1">
        <v>226.47</v>
      </c>
      <c r="C60">
        <f t="shared" si="0"/>
        <v>-1.7299999999999898</v>
      </c>
      <c r="D60">
        <f t="shared" si="1"/>
        <v>0</v>
      </c>
      <c r="E60">
        <f t="shared" si="2"/>
        <v>1.7299999999999898</v>
      </c>
      <c r="F60">
        <f t="shared" si="3"/>
        <v>1.086428571428572</v>
      </c>
      <c r="G60">
        <f t="shared" si="4"/>
        <v>0.68928571428571472</v>
      </c>
      <c r="H60">
        <f t="shared" si="5"/>
        <v>1.5761658031088082</v>
      </c>
      <c r="I60">
        <f t="shared" si="6"/>
        <v>61.18262268704747</v>
      </c>
    </row>
    <row r="61" spans="1:9" x14ac:dyDescent="0.2">
      <c r="A61" s="2">
        <v>45559</v>
      </c>
      <c r="B61" s="1">
        <v>227.37</v>
      </c>
      <c r="C61">
        <f t="shared" si="0"/>
        <v>0.90000000000000568</v>
      </c>
      <c r="D61">
        <f t="shared" si="1"/>
        <v>0.90000000000000568</v>
      </c>
      <c r="E61">
        <f t="shared" si="2"/>
        <v>0</v>
      </c>
      <c r="F61">
        <f t="shared" si="3"/>
        <v>1.1507142857142867</v>
      </c>
      <c r="G61">
        <f t="shared" si="4"/>
        <v>0.63214285714285878</v>
      </c>
      <c r="H61">
        <f t="shared" si="5"/>
        <v>1.8203389830508443</v>
      </c>
      <c r="I61">
        <f t="shared" si="6"/>
        <v>64.543269230769198</v>
      </c>
    </row>
    <row r="62" spans="1:9" x14ac:dyDescent="0.2">
      <c r="A62" s="2">
        <v>45560</v>
      </c>
      <c r="B62" s="1">
        <v>226.37</v>
      </c>
      <c r="C62">
        <f t="shared" si="0"/>
        <v>-1</v>
      </c>
      <c r="D62">
        <f t="shared" si="1"/>
        <v>0</v>
      </c>
      <c r="E62">
        <f t="shared" si="2"/>
        <v>1</v>
      </c>
      <c r="F62">
        <f t="shared" si="3"/>
        <v>0.96857142857143075</v>
      </c>
      <c r="G62">
        <f t="shared" si="4"/>
        <v>0.70357142857143018</v>
      </c>
      <c r="H62">
        <f t="shared" si="5"/>
        <v>1.3766497461928933</v>
      </c>
      <c r="I62">
        <f t="shared" si="6"/>
        <v>57.923964117898329</v>
      </c>
    </row>
    <row r="63" spans="1:9" x14ac:dyDescent="0.2">
      <c r="A63" s="2">
        <v>45561</v>
      </c>
      <c r="B63" s="1">
        <v>227.52</v>
      </c>
      <c r="C63">
        <f t="shared" si="0"/>
        <v>1.1500000000000057</v>
      </c>
      <c r="D63">
        <f t="shared" si="1"/>
        <v>1.1500000000000057</v>
      </c>
      <c r="E63">
        <f t="shared" si="2"/>
        <v>0</v>
      </c>
      <c r="F63">
        <f t="shared" si="3"/>
        <v>1.0428571428571445</v>
      </c>
      <c r="G63">
        <f t="shared" si="4"/>
        <v>0.70357142857143018</v>
      </c>
      <c r="H63">
        <f t="shared" si="5"/>
        <v>1.48223350253807</v>
      </c>
      <c r="I63">
        <f t="shared" si="6"/>
        <v>59.713701431492822</v>
      </c>
    </row>
    <row r="64" spans="1:9" x14ac:dyDescent="0.2">
      <c r="A64" s="2">
        <v>45562</v>
      </c>
      <c r="B64" s="1">
        <v>227.79</v>
      </c>
      <c r="C64">
        <f t="shared" si="0"/>
        <v>0.26999999999998181</v>
      </c>
      <c r="D64">
        <f t="shared" si="1"/>
        <v>0.26999999999998181</v>
      </c>
      <c r="E64">
        <f t="shared" si="2"/>
        <v>0</v>
      </c>
      <c r="F64">
        <f t="shared" si="3"/>
        <v>1.0621428571428575</v>
      </c>
      <c r="G64">
        <f t="shared" si="4"/>
        <v>0.68428571428571516</v>
      </c>
      <c r="H64">
        <f t="shared" si="5"/>
        <v>1.552192066805844</v>
      </c>
      <c r="I64">
        <f t="shared" si="6"/>
        <v>60.817995910020429</v>
      </c>
    </row>
    <row r="65" spans="1:9" x14ac:dyDescent="0.2">
      <c r="A65" s="2">
        <v>45565</v>
      </c>
      <c r="B65" s="1">
        <v>233</v>
      </c>
      <c r="C65">
        <f t="shared" si="0"/>
        <v>5.210000000000008</v>
      </c>
      <c r="D65">
        <f t="shared" si="1"/>
        <v>5.210000000000008</v>
      </c>
      <c r="E65">
        <f t="shared" si="2"/>
        <v>0</v>
      </c>
      <c r="F65">
        <f t="shared" si="3"/>
        <v>1.4342857142857153</v>
      </c>
      <c r="G65">
        <f t="shared" si="4"/>
        <v>0.24285714285714327</v>
      </c>
      <c r="H65">
        <f t="shared" si="5"/>
        <v>5.9058823529411706</v>
      </c>
      <c r="I65">
        <f t="shared" si="6"/>
        <v>85.519591141396916</v>
      </c>
    </row>
    <row r="66" spans="1:9" x14ac:dyDescent="0.2">
      <c r="A66" s="2">
        <v>45566</v>
      </c>
      <c r="B66" s="1">
        <v>226.21</v>
      </c>
      <c r="C66">
        <f t="shared" si="0"/>
        <v>-6.789999999999992</v>
      </c>
      <c r="D66">
        <f t="shared" si="1"/>
        <v>0</v>
      </c>
      <c r="E66">
        <f t="shared" si="2"/>
        <v>6.789999999999992</v>
      </c>
      <c r="F66">
        <f t="shared" si="3"/>
        <v>1.4007142857142867</v>
      </c>
      <c r="G66">
        <f t="shared" si="4"/>
        <v>0.72785714285714265</v>
      </c>
      <c r="H66">
        <f t="shared" si="5"/>
        <v>1.9244357212953895</v>
      </c>
      <c r="I66">
        <f t="shared" si="6"/>
        <v>65.805369127516798</v>
      </c>
    </row>
    <row r="67" spans="1:9" x14ac:dyDescent="0.2">
      <c r="A67" s="2">
        <v>45567</v>
      </c>
      <c r="B67" s="1">
        <v>226.78</v>
      </c>
      <c r="C67">
        <f t="shared" si="0"/>
        <v>0.56999999999999318</v>
      </c>
      <c r="D67">
        <f t="shared" si="1"/>
        <v>0.56999999999999318</v>
      </c>
      <c r="E67">
        <f t="shared" si="2"/>
        <v>0</v>
      </c>
      <c r="F67">
        <f t="shared" si="3"/>
        <v>1.162857142857143</v>
      </c>
      <c r="G67">
        <f t="shared" si="4"/>
        <v>0.72785714285714265</v>
      </c>
      <c r="H67">
        <f t="shared" si="5"/>
        <v>1.5976447497546622</v>
      </c>
      <c r="I67">
        <f t="shared" si="6"/>
        <v>61.503588968643761</v>
      </c>
    </row>
    <row r="68" spans="1:9" x14ac:dyDescent="0.2">
      <c r="A68" s="2">
        <v>45568</v>
      </c>
      <c r="B68" s="1">
        <v>225.67</v>
      </c>
      <c r="C68">
        <f t="shared" ref="C68:C131" si="7">B68-B67</f>
        <v>-1.1100000000000136</v>
      </c>
      <c r="D68">
        <f t="shared" ref="D68:D131" si="8">IF(C68&gt;0,C68,0)</f>
        <v>0</v>
      </c>
      <c r="E68">
        <f t="shared" ref="E68:E131" si="9">IF(C68&lt;0,-C68,0)</f>
        <v>1.1100000000000136</v>
      </c>
      <c r="F68">
        <f t="shared" si="3"/>
        <v>0.57857142857142818</v>
      </c>
      <c r="G68">
        <f t="shared" si="4"/>
        <v>0.80714285714285794</v>
      </c>
      <c r="H68">
        <f t="shared" si="5"/>
        <v>0.71681415929203418</v>
      </c>
      <c r="I68">
        <f t="shared" si="6"/>
        <v>41.752577319587587</v>
      </c>
    </row>
    <row r="69" spans="1:9" x14ac:dyDescent="0.2">
      <c r="A69" s="2">
        <v>45569</v>
      </c>
      <c r="B69" s="1">
        <v>226.8</v>
      </c>
      <c r="C69">
        <f t="shared" si="7"/>
        <v>1.1300000000000239</v>
      </c>
      <c r="D69">
        <f t="shared" si="8"/>
        <v>1.1300000000000239</v>
      </c>
      <c r="E69">
        <f t="shared" si="9"/>
        <v>0</v>
      </c>
      <c r="F69">
        <f t="shared" si="3"/>
        <v>0.65928571428571558</v>
      </c>
      <c r="G69">
        <f t="shared" si="4"/>
        <v>0.75928571428571401</v>
      </c>
      <c r="H69">
        <f t="shared" si="5"/>
        <v>0.86829727187206218</v>
      </c>
      <c r="I69">
        <f t="shared" si="6"/>
        <v>46.475327291037324</v>
      </c>
    </row>
    <row r="70" spans="1:9" x14ac:dyDescent="0.2">
      <c r="A70" s="2">
        <v>45572</v>
      </c>
      <c r="B70" s="1">
        <v>221.69</v>
      </c>
      <c r="C70">
        <f t="shared" si="7"/>
        <v>-5.1100000000000136</v>
      </c>
      <c r="D70">
        <f t="shared" si="8"/>
        <v>0</v>
      </c>
      <c r="E70">
        <f t="shared" si="9"/>
        <v>5.1100000000000136</v>
      </c>
      <c r="F70">
        <f t="shared" si="3"/>
        <v>0.65928571428571558</v>
      </c>
      <c r="G70">
        <f t="shared" si="4"/>
        <v>1.000714285714287</v>
      </c>
      <c r="H70">
        <f t="shared" si="5"/>
        <v>0.65881513204853726</v>
      </c>
      <c r="I70">
        <f t="shared" si="6"/>
        <v>39.716006884681597</v>
      </c>
    </row>
    <row r="71" spans="1:9" x14ac:dyDescent="0.2">
      <c r="A71" s="2">
        <v>45573</v>
      </c>
      <c r="B71" s="1">
        <v>225.77</v>
      </c>
      <c r="C71">
        <f t="shared" si="7"/>
        <v>4.0800000000000125</v>
      </c>
      <c r="D71">
        <f t="shared" si="8"/>
        <v>4.0800000000000125</v>
      </c>
      <c r="E71">
        <f t="shared" si="9"/>
        <v>0</v>
      </c>
      <c r="F71">
        <f t="shared" si="3"/>
        <v>0.88642857142857323</v>
      </c>
      <c r="G71">
        <f t="shared" si="4"/>
        <v>1.000714285714287</v>
      </c>
      <c r="H71">
        <f t="shared" si="5"/>
        <v>0.88579586009992928</v>
      </c>
      <c r="I71">
        <f t="shared" si="6"/>
        <v>46.971990915972768</v>
      </c>
    </row>
    <row r="72" spans="1:9" x14ac:dyDescent="0.2">
      <c r="A72" s="2">
        <v>45574</v>
      </c>
      <c r="B72" s="1">
        <v>229.54</v>
      </c>
      <c r="C72">
        <f t="shared" si="7"/>
        <v>3.7699999999999818</v>
      </c>
      <c r="D72">
        <f t="shared" si="8"/>
        <v>3.7699999999999818</v>
      </c>
      <c r="E72">
        <f t="shared" si="9"/>
        <v>0</v>
      </c>
      <c r="F72">
        <f t="shared" si="3"/>
        <v>1.1557142857142861</v>
      </c>
      <c r="G72">
        <f t="shared" si="4"/>
        <v>0.92928571428571571</v>
      </c>
      <c r="H72">
        <f t="shared" si="5"/>
        <v>1.2436587240584152</v>
      </c>
      <c r="I72">
        <f t="shared" si="6"/>
        <v>55.429941760876979</v>
      </c>
    </row>
    <row r="73" spans="1:9" x14ac:dyDescent="0.2">
      <c r="A73" s="2">
        <v>45575</v>
      </c>
      <c r="B73" s="1">
        <v>229.04</v>
      </c>
      <c r="C73">
        <f t="shared" si="7"/>
        <v>-0.5</v>
      </c>
      <c r="D73">
        <f t="shared" si="8"/>
        <v>0</v>
      </c>
      <c r="E73">
        <f t="shared" si="9"/>
        <v>0.5</v>
      </c>
      <c r="F73">
        <f t="shared" si="3"/>
        <v>1.0735714285714286</v>
      </c>
      <c r="G73">
        <f t="shared" si="4"/>
        <v>0.96500000000000141</v>
      </c>
      <c r="H73">
        <f t="shared" si="5"/>
        <v>1.1125092524056239</v>
      </c>
      <c r="I73">
        <f t="shared" si="6"/>
        <v>52.662929222144321</v>
      </c>
    </row>
    <row r="74" spans="1:9" x14ac:dyDescent="0.2">
      <c r="A74" s="2">
        <v>45576</v>
      </c>
      <c r="B74" s="1">
        <v>227.55</v>
      </c>
      <c r="C74">
        <f t="shared" si="7"/>
        <v>-1.4899999999999807</v>
      </c>
      <c r="D74">
        <f t="shared" si="8"/>
        <v>0</v>
      </c>
      <c r="E74">
        <f t="shared" si="9"/>
        <v>1.4899999999999807</v>
      </c>
      <c r="F74">
        <f t="shared" si="3"/>
        <v>1.0542857142857156</v>
      </c>
      <c r="G74">
        <f t="shared" si="4"/>
        <v>1.0714285714285714</v>
      </c>
      <c r="H74">
        <f t="shared" si="5"/>
        <v>0.98400000000000121</v>
      </c>
      <c r="I74">
        <f t="shared" si="6"/>
        <v>49.59677419354842</v>
      </c>
    </row>
    <row r="75" spans="1:9" x14ac:dyDescent="0.2">
      <c r="A75" s="2">
        <v>45579</v>
      </c>
      <c r="B75" s="1">
        <v>231.3</v>
      </c>
      <c r="C75">
        <f t="shared" si="7"/>
        <v>3.75</v>
      </c>
      <c r="D75">
        <f t="shared" si="8"/>
        <v>3.75</v>
      </c>
      <c r="E75">
        <f t="shared" si="9"/>
        <v>0</v>
      </c>
      <c r="F75">
        <f t="shared" si="3"/>
        <v>0.95000000000000084</v>
      </c>
      <c r="G75">
        <f t="shared" si="4"/>
        <v>1.0714285714285714</v>
      </c>
      <c r="H75">
        <f t="shared" si="5"/>
        <v>0.88666666666666749</v>
      </c>
      <c r="I75">
        <f t="shared" si="6"/>
        <v>46.996466431095435</v>
      </c>
    </row>
    <row r="76" spans="1:9" x14ac:dyDescent="0.2">
      <c r="A76" s="2">
        <v>45580</v>
      </c>
      <c r="B76" s="1">
        <v>233.85</v>
      </c>
      <c r="C76">
        <f t="shared" si="7"/>
        <v>2.5499999999999829</v>
      </c>
      <c r="D76">
        <f t="shared" si="8"/>
        <v>2.5499999999999829</v>
      </c>
      <c r="E76">
        <f t="shared" si="9"/>
        <v>0</v>
      </c>
      <c r="F76">
        <f t="shared" ref="F76:F139" si="10">SUM(D67:D76)/14</f>
        <v>1.1321428571428567</v>
      </c>
      <c r="G76">
        <f t="shared" ref="G76:G139" si="11">SUM(E67:E76)/14</f>
        <v>0.58642857142857197</v>
      </c>
      <c r="H76">
        <f t="shared" ref="H76:H139" si="12">F76/G76</f>
        <v>1.9305724725943945</v>
      </c>
      <c r="I76">
        <f t="shared" ref="I76:I139" si="13">IF(G76=0,100,100-(100/(1+H76)))</f>
        <v>65.876974231088923</v>
      </c>
    </row>
    <row r="77" spans="1:9" x14ac:dyDescent="0.2">
      <c r="A77" s="2">
        <v>45581</v>
      </c>
      <c r="B77" s="1">
        <v>231.78</v>
      </c>
      <c r="C77">
        <f t="shared" si="7"/>
        <v>-2.0699999999999932</v>
      </c>
      <c r="D77">
        <f t="shared" si="8"/>
        <v>0</v>
      </c>
      <c r="E77">
        <f t="shared" si="9"/>
        <v>2.0699999999999932</v>
      </c>
      <c r="F77">
        <f t="shared" si="10"/>
        <v>1.0914285714285714</v>
      </c>
      <c r="G77">
        <f t="shared" si="11"/>
        <v>0.73428571428571432</v>
      </c>
      <c r="H77">
        <f t="shared" si="12"/>
        <v>1.4863813229571983</v>
      </c>
      <c r="I77">
        <f t="shared" si="13"/>
        <v>59.780907668231613</v>
      </c>
    </row>
    <row r="78" spans="1:9" x14ac:dyDescent="0.2">
      <c r="A78" s="2">
        <v>45582</v>
      </c>
      <c r="B78" s="1">
        <v>232.15</v>
      </c>
      <c r="C78">
        <f t="shared" si="7"/>
        <v>0.37000000000000455</v>
      </c>
      <c r="D78">
        <f t="shared" si="8"/>
        <v>0.37000000000000455</v>
      </c>
      <c r="E78">
        <f t="shared" si="9"/>
        <v>0</v>
      </c>
      <c r="F78">
        <f t="shared" si="10"/>
        <v>1.1178571428571433</v>
      </c>
      <c r="G78">
        <f t="shared" si="11"/>
        <v>0.65499999999999914</v>
      </c>
      <c r="H78">
        <f t="shared" si="12"/>
        <v>1.7066521264994576</v>
      </c>
      <c r="I78">
        <f t="shared" si="13"/>
        <v>63.053988718775223</v>
      </c>
    </row>
    <row r="79" spans="1:9" x14ac:dyDescent="0.2">
      <c r="A79" s="2">
        <v>45583</v>
      </c>
      <c r="B79" s="1">
        <v>235</v>
      </c>
      <c r="C79">
        <f t="shared" si="7"/>
        <v>2.8499999999999943</v>
      </c>
      <c r="D79">
        <f t="shared" si="8"/>
        <v>2.8499999999999943</v>
      </c>
      <c r="E79">
        <f t="shared" si="9"/>
        <v>0</v>
      </c>
      <c r="F79">
        <f t="shared" si="10"/>
        <v>1.2407142857142841</v>
      </c>
      <c r="G79">
        <f t="shared" si="11"/>
        <v>0.65499999999999914</v>
      </c>
      <c r="H79">
        <f t="shared" si="12"/>
        <v>1.8942202835332607</v>
      </c>
      <c r="I79">
        <f t="shared" si="13"/>
        <v>65.448379804069333</v>
      </c>
    </row>
    <row r="80" spans="1:9" x14ac:dyDescent="0.2">
      <c r="A80" s="2">
        <v>45586</v>
      </c>
      <c r="B80" s="1">
        <v>236.48</v>
      </c>
      <c r="C80">
        <f t="shared" si="7"/>
        <v>1.4799999999999898</v>
      </c>
      <c r="D80">
        <f t="shared" si="8"/>
        <v>1.4799999999999898</v>
      </c>
      <c r="E80">
        <f t="shared" si="9"/>
        <v>0</v>
      </c>
      <c r="F80">
        <f t="shared" si="10"/>
        <v>1.3464285714285691</v>
      </c>
      <c r="G80">
        <f t="shared" si="11"/>
        <v>0.28999999999999815</v>
      </c>
      <c r="H80">
        <f t="shared" si="12"/>
        <v>4.6428571428571646</v>
      </c>
      <c r="I80">
        <f t="shared" si="13"/>
        <v>82.27848101265829</v>
      </c>
    </row>
    <row r="81" spans="1:9" x14ac:dyDescent="0.2">
      <c r="A81" s="2">
        <v>45587</v>
      </c>
      <c r="B81" s="1">
        <v>235.86</v>
      </c>
      <c r="C81">
        <f t="shared" si="7"/>
        <v>-0.61999999999997613</v>
      </c>
      <c r="D81">
        <f t="shared" si="8"/>
        <v>0</v>
      </c>
      <c r="E81">
        <f t="shared" si="9"/>
        <v>0.61999999999997613</v>
      </c>
      <c r="F81">
        <f t="shared" si="10"/>
        <v>1.0549999999999966</v>
      </c>
      <c r="G81">
        <f t="shared" si="11"/>
        <v>0.33428571428571069</v>
      </c>
      <c r="H81">
        <f t="shared" si="12"/>
        <v>3.1559829059829299</v>
      </c>
      <c r="I81">
        <f t="shared" si="13"/>
        <v>75.938303341902454</v>
      </c>
    </row>
    <row r="82" spans="1:9" x14ac:dyDescent="0.2">
      <c r="A82" s="2">
        <v>45588</v>
      </c>
      <c r="B82" s="1">
        <v>230.76</v>
      </c>
      <c r="C82">
        <f t="shared" si="7"/>
        <v>-5.1000000000000227</v>
      </c>
      <c r="D82">
        <f t="shared" si="8"/>
        <v>0</v>
      </c>
      <c r="E82">
        <f t="shared" si="9"/>
        <v>5.1000000000000227</v>
      </c>
      <c r="F82">
        <f t="shared" si="10"/>
        <v>0.7857142857142837</v>
      </c>
      <c r="G82">
        <f t="shared" si="11"/>
        <v>0.69857142857142662</v>
      </c>
      <c r="H82">
        <f t="shared" si="12"/>
        <v>1.1247443762781189</v>
      </c>
      <c r="I82">
        <f t="shared" si="13"/>
        <v>52.93551491819057</v>
      </c>
    </row>
    <row r="83" spans="1:9" x14ac:dyDescent="0.2">
      <c r="A83" s="2">
        <v>45589</v>
      </c>
      <c r="B83" s="1">
        <v>230.57</v>
      </c>
      <c r="C83">
        <f t="shared" si="7"/>
        <v>-0.18999999999999773</v>
      </c>
      <c r="D83">
        <f t="shared" si="8"/>
        <v>0</v>
      </c>
      <c r="E83">
        <f t="shared" si="9"/>
        <v>0.18999999999999773</v>
      </c>
      <c r="F83">
        <f t="shared" si="10"/>
        <v>0.7857142857142837</v>
      </c>
      <c r="G83">
        <f t="shared" si="11"/>
        <v>0.67642857142856927</v>
      </c>
      <c r="H83">
        <f t="shared" si="12"/>
        <v>1.1615628299894412</v>
      </c>
      <c r="I83">
        <f t="shared" si="13"/>
        <v>53.737176355642418</v>
      </c>
    </row>
    <row r="84" spans="1:9" x14ac:dyDescent="0.2">
      <c r="A84" s="2">
        <v>45590</v>
      </c>
      <c r="B84" s="1">
        <v>231.41</v>
      </c>
      <c r="C84">
        <f t="shared" si="7"/>
        <v>0.84000000000000341</v>
      </c>
      <c r="D84">
        <f t="shared" si="8"/>
        <v>0.84000000000000341</v>
      </c>
      <c r="E84">
        <f t="shared" si="9"/>
        <v>0</v>
      </c>
      <c r="F84">
        <f t="shared" si="10"/>
        <v>0.84571428571428398</v>
      </c>
      <c r="G84">
        <f t="shared" si="11"/>
        <v>0.56999999999999929</v>
      </c>
      <c r="H84">
        <f t="shared" si="12"/>
        <v>1.4837092731829562</v>
      </c>
      <c r="I84">
        <f t="shared" si="13"/>
        <v>59.737638748738632</v>
      </c>
    </row>
    <row r="85" spans="1:9" x14ac:dyDescent="0.2">
      <c r="A85" s="2">
        <v>45593</v>
      </c>
      <c r="B85" s="1">
        <v>233.4</v>
      </c>
      <c r="C85">
        <f t="shared" si="7"/>
        <v>1.9900000000000091</v>
      </c>
      <c r="D85">
        <f t="shared" si="8"/>
        <v>1.9900000000000091</v>
      </c>
      <c r="E85">
        <f t="shared" si="9"/>
        <v>0</v>
      </c>
      <c r="F85">
        <f t="shared" si="10"/>
        <v>0.71999999999999886</v>
      </c>
      <c r="G85">
        <f t="shared" si="11"/>
        <v>0.56999999999999929</v>
      </c>
      <c r="H85">
        <f t="shared" si="12"/>
        <v>1.2631578947368416</v>
      </c>
      <c r="I85">
        <f t="shared" si="13"/>
        <v>55.813953488372086</v>
      </c>
    </row>
    <row r="86" spans="1:9" x14ac:dyDescent="0.2">
      <c r="A86" s="2">
        <v>45594</v>
      </c>
      <c r="B86" s="1">
        <v>233.67</v>
      </c>
      <c r="C86">
        <f t="shared" si="7"/>
        <v>0.26999999999998181</v>
      </c>
      <c r="D86">
        <f t="shared" si="8"/>
        <v>0.26999999999998181</v>
      </c>
      <c r="E86">
        <f t="shared" si="9"/>
        <v>0</v>
      </c>
      <c r="F86">
        <f t="shared" si="10"/>
        <v>0.55714285714285594</v>
      </c>
      <c r="G86">
        <f t="shared" si="11"/>
        <v>0.56999999999999929</v>
      </c>
      <c r="H86">
        <f t="shared" si="12"/>
        <v>0.97744360902255556</v>
      </c>
      <c r="I86">
        <f t="shared" si="13"/>
        <v>49.429657794676785</v>
      </c>
    </row>
    <row r="87" spans="1:9" x14ac:dyDescent="0.2">
      <c r="A87" s="2">
        <v>45595</v>
      </c>
      <c r="B87" s="1">
        <v>230.1</v>
      </c>
      <c r="C87">
        <f t="shared" si="7"/>
        <v>-3.5699999999999932</v>
      </c>
      <c r="D87">
        <f t="shared" si="8"/>
        <v>0</v>
      </c>
      <c r="E87">
        <f t="shared" si="9"/>
        <v>3.5699999999999932</v>
      </c>
      <c r="F87">
        <f t="shared" si="10"/>
        <v>0.55714285714285594</v>
      </c>
      <c r="G87">
        <f t="shared" si="11"/>
        <v>0.67714285714285638</v>
      </c>
      <c r="H87">
        <f t="shared" si="12"/>
        <v>0.82278481012658145</v>
      </c>
      <c r="I87">
        <f t="shared" si="13"/>
        <v>45.138888888888857</v>
      </c>
    </row>
    <row r="88" spans="1:9" x14ac:dyDescent="0.2">
      <c r="A88" s="2">
        <v>45596</v>
      </c>
      <c r="B88" s="1">
        <v>225.91</v>
      </c>
      <c r="C88">
        <f t="shared" si="7"/>
        <v>-4.1899999999999977</v>
      </c>
      <c r="D88">
        <f t="shared" si="8"/>
        <v>0</v>
      </c>
      <c r="E88">
        <f t="shared" si="9"/>
        <v>4.1899999999999977</v>
      </c>
      <c r="F88">
        <f t="shared" si="10"/>
        <v>0.53071428571428414</v>
      </c>
      <c r="G88">
        <f t="shared" si="11"/>
        <v>0.97642857142857054</v>
      </c>
      <c r="H88">
        <f t="shared" si="12"/>
        <v>0.54352596927578523</v>
      </c>
      <c r="I88">
        <f t="shared" si="13"/>
        <v>35.21327014218005</v>
      </c>
    </row>
    <row r="89" spans="1:9" x14ac:dyDescent="0.2">
      <c r="A89" s="2">
        <v>45597</v>
      </c>
      <c r="B89" s="1">
        <v>222.91</v>
      </c>
      <c r="C89">
        <f t="shared" si="7"/>
        <v>-3</v>
      </c>
      <c r="D89">
        <f t="shared" si="8"/>
        <v>0</v>
      </c>
      <c r="E89">
        <f t="shared" si="9"/>
        <v>3</v>
      </c>
      <c r="F89">
        <f t="shared" si="10"/>
        <v>0.32714285714285601</v>
      </c>
      <c r="G89">
        <f t="shared" si="11"/>
        <v>1.1907142857142847</v>
      </c>
      <c r="H89">
        <f t="shared" si="12"/>
        <v>0.27474505098980134</v>
      </c>
      <c r="I89">
        <f t="shared" si="13"/>
        <v>21.55294117647054</v>
      </c>
    </row>
    <row r="90" spans="1:9" x14ac:dyDescent="0.2">
      <c r="A90" s="2">
        <v>45600</v>
      </c>
      <c r="B90" s="1">
        <v>222.01</v>
      </c>
      <c r="C90">
        <f t="shared" si="7"/>
        <v>-0.90000000000000568</v>
      </c>
      <c r="D90">
        <f t="shared" si="8"/>
        <v>0</v>
      </c>
      <c r="E90">
        <f t="shared" si="9"/>
        <v>0.90000000000000568</v>
      </c>
      <c r="F90">
        <f t="shared" si="10"/>
        <v>0.22142857142857103</v>
      </c>
      <c r="G90">
        <f t="shared" si="11"/>
        <v>1.2549999999999994</v>
      </c>
      <c r="H90">
        <f t="shared" si="12"/>
        <v>0.17643710870802481</v>
      </c>
      <c r="I90">
        <f t="shared" si="13"/>
        <v>14.99758103531687</v>
      </c>
    </row>
    <row r="91" spans="1:9" x14ac:dyDescent="0.2">
      <c r="A91" s="2">
        <v>45601</v>
      </c>
      <c r="B91" s="1">
        <v>223.45</v>
      </c>
      <c r="C91">
        <f t="shared" si="7"/>
        <v>1.4399999999999977</v>
      </c>
      <c r="D91">
        <f t="shared" si="8"/>
        <v>1.4399999999999977</v>
      </c>
      <c r="E91">
        <f t="shared" si="9"/>
        <v>0</v>
      </c>
      <c r="F91">
        <f t="shared" si="10"/>
        <v>0.32428571428571373</v>
      </c>
      <c r="G91">
        <f t="shared" si="11"/>
        <v>1.210714285714287</v>
      </c>
      <c r="H91">
        <f t="shared" si="12"/>
        <v>0.26784660766961577</v>
      </c>
      <c r="I91">
        <f t="shared" si="13"/>
        <v>21.126105165193067</v>
      </c>
    </row>
    <row r="92" spans="1:9" x14ac:dyDescent="0.2">
      <c r="A92" s="2">
        <v>45602</v>
      </c>
      <c r="B92" s="1">
        <v>222.72</v>
      </c>
      <c r="C92">
        <f t="shared" si="7"/>
        <v>-0.72999999999998977</v>
      </c>
      <c r="D92">
        <f t="shared" si="8"/>
        <v>0</v>
      </c>
      <c r="E92">
        <f t="shared" si="9"/>
        <v>0.72999999999998977</v>
      </c>
      <c r="F92">
        <f t="shared" si="10"/>
        <v>0.32428571428571373</v>
      </c>
      <c r="G92">
        <f t="shared" si="11"/>
        <v>0.89857142857142747</v>
      </c>
      <c r="H92">
        <f t="shared" si="12"/>
        <v>0.36089030206677247</v>
      </c>
      <c r="I92">
        <f t="shared" si="13"/>
        <v>26.518691588785032</v>
      </c>
    </row>
    <row r="93" spans="1:9" x14ac:dyDescent="0.2">
      <c r="A93" s="2">
        <v>45603</v>
      </c>
      <c r="B93" s="1">
        <v>227.48</v>
      </c>
      <c r="C93">
        <f t="shared" si="7"/>
        <v>4.7599999999999909</v>
      </c>
      <c r="D93">
        <f t="shared" si="8"/>
        <v>4.7599999999999909</v>
      </c>
      <c r="E93">
        <f t="shared" si="9"/>
        <v>0</v>
      </c>
      <c r="F93">
        <f t="shared" si="10"/>
        <v>0.66428571428571304</v>
      </c>
      <c r="G93">
        <f t="shared" si="11"/>
        <v>0.88499999999999901</v>
      </c>
      <c r="H93">
        <f t="shared" si="12"/>
        <v>0.75060532687651271</v>
      </c>
      <c r="I93">
        <f t="shared" si="13"/>
        <v>42.876901798063606</v>
      </c>
    </row>
    <row r="94" spans="1:9" x14ac:dyDescent="0.2">
      <c r="A94" s="2">
        <v>45604</v>
      </c>
      <c r="B94" s="1">
        <v>226.96</v>
      </c>
      <c r="C94">
        <f t="shared" si="7"/>
        <v>-0.51999999999998181</v>
      </c>
      <c r="D94">
        <f t="shared" si="8"/>
        <v>0</v>
      </c>
      <c r="E94">
        <f t="shared" si="9"/>
        <v>0.51999999999998181</v>
      </c>
      <c r="F94">
        <f t="shared" si="10"/>
        <v>0.60428571428571287</v>
      </c>
      <c r="G94">
        <f t="shared" si="11"/>
        <v>0.92214285714285482</v>
      </c>
      <c r="H94">
        <f t="shared" si="12"/>
        <v>0.65530596436870658</v>
      </c>
      <c r="I94">
        <f t="shared" si="13"/>
        <v>39.588207767898922</v>
      </c>
    </row>
    <row r="95" spans="1:9" x14ac:dyDescent="0.2">
      <c r="A95" s="2">
        <v>45607</v>
      </c>
      <c r="B95" s="1">
        <v>224.23</v>
      </c>
      <c r="C95">
        <f t="shared" si="7"/>
        <v>-2.7300000000000182</v>
      </c>
      <c r="D95">
        <f t="shared" si="8"/>
        <v>0</v>
      </c>
      <c r="E95">
        <f t="shared" si="9"/>
        <v>2.7300000000000182</v>
      </c>
      <c r="F95">
        <f t="shared" si="10"/>
        <v>0.46214285714285502</v>
      </c>
      <c r="G95">
        <f t="shared" si="11"/>
        <v>1.1171428571428561</v>
      </c>
      <c r="H95">
        <f t="shared" si="12"/>
        <v>0.41368286445012636</v>
      </c>
      <c r="I95">
        <f t="shared" si="13"/>
        <v>29.262777023970969</v>
      </c>
    </row>
    <row r="96" spans="1:9" x14ac:dyDescent="0.2">
      <c r="A96" s="2">
        <v>45608</v>
      </c>
      <c r="B96" s="1">
        <v>224.23</v>
      </c>
      <c r="C96">
        <f t="shared" si="7"/>
        <v>0</v>
      </c>
      <c r="D96">
        <f t="shared" si="8"/>
        <v>0</v>
      </c>
      <c r="E96">
        <f t="shared" si="9"/>
        <v>0</v>
      </c>
      <c r="F96">
        <f t="shared" si="10"/>
        <v>0.44285714285714206</v>
      </c>
      <c r="G96">
        <f t="shared" si="11"/>
        <v>1.1171428571428561</v>
      </c>
      <c r="H96">
        <f t="shared" si="12"/>
        <v>0.39641943734015311</v>
      </c>
      <c r="I96">
        <f t="shared" si="13"/>
        <v>28.388278388278366</v>
      </c>
    </row>
    <row r="97" spans="1:9" x14ac:dyDescent="0.2">
      <c r="A97" s="2">
        <v>45609</v>
      </c>
      <c r="B97" s="1">
        <v>225.12</v>
      </c>
      <c r="C97">
        <f t="shared" si="7"/>
        <v>0.89000000000001478</v>
      </c>
      <c r="D97">
        <f t="shared" si="8"/>
        <v>0.89000000000001478</v>
      </c>
      <c r="E97">
        <f t="shared" si="9"/>
        <v>0</v>
      </c>
      <c r="F97">
        <f t="shared" si="10"/>
        <v>0.50642857142857167</v>
      </c>
      <c r="G97">
        <f t="shared" si="11"/>
        <v>0.86214285714285666</v>
      </c>
      <c r="H97">
        <f t="shared" si="12"/>
        <v>0.58740679370339743</v>
      </c>
      <c r="I97">
        <f t="shared" si="13"/>
        <v>37.004175365344487</v>
      </c>
    </row>
    <row r="98" spans="1:9" x14ac:dyDescent="0.2">
      <c r="A98" s="2">
        <v>45610</v>
      </c>
      <c r="B98" s="1">
        <v>228.22</v>
      </c>
      <c r="C98">
        <f t="shared" si="7"/>
        <v>3.0999999999999943</v>
      </c>
      <c r="D98">
        <f t="shared" si="8"/>
        <v>3.0999999999999943</v>
      </c>
      <c r="E98">
        <f t="shared" si="9"/>
        <v>0</v>
      </c>
      <c r="F98">
        <f t="shared" si="10"/>
        <v>0.72785714285714265</v>
      </c>
      <c r="G98">
        <f t="shared" si="11"/>
        <v>0.5628571428571425</v>
      </c>
      <c r="H98">
        <f t="shared" si="12"/>
        <v>1.2931472081218278</v>
      </c>
      <c r="I98">
        <f t="shared" si="13"/>
        <v>56.391809629219708</v>
      </c>
    </row>
    <row r="99" spans="1:9" x14ac:dyDescent="0.2">
      <c r="A99" s="2">
        <v>45611</v>
      </c>
      <c r="B99" s="1">
        <v>225</v>
      </c>
      <c r="C99">
        <f t="shared" si="7"/>
        <v>-3.2199999999999989</v>
      </c>
      <c r="D99">
        <f t="shared" si="8"/>
        <v>0</v>
      </c>
      <c r="E99">
        <f t="shared" si="9"/>
        <v>3.2199999999999989</v>
      </c>
      <c r="F99">
        <f t="shared" si="10"/>
        <v>0.72785714285714265</v>
      </c>
      <c r="G99">
        <f t="shared" si="11"/>
        <v>0.57857142857142818</v>
      </c>
      <c r="H99">
        <f t="shared" si="12"/>
        <v>1.2580246913580251</v>
      </c>
      <c r="I99">
        <f t="shared" si="13"/>
        <v>55.71350464734828</v>
      </c>
    </row>
    <row r="100" spans="1:9" x14ac:dyDescent="0.2">
      <c r="A100" s="2">
        <v>45614</v>
      </c>
      <c r="B100" s="1">
        <v>228.02</v>
      </c>
      <c r="C100">
        <f t="shared" si="7"/>
        <v>3.0200000000000102</v>
      </c>
      <c r="D100">
        <f t="shared" si="8"/>
        <v>3.0200000000000102</v>
      </c>
      <c r="E100">
        <f t="shared" si="9"/>
        <v>0</v>
      </c>
      <c r="F100">
        <f t="shared" si="10"/>
        <v>0.94357142857142917</v>
      </c>
      <c r="G100">
        <f t="shared" si="11"/>
        <v>0.51428571428571346</v>
      </c>
      <c r="H100">
        <f t="shared" si="12"/>
        <v>1.8347222222222264</v>
      </c>
      <c r="I100">
        <f t="shared" si="13"/>
        <v>64.723174914257768</v>
      </c>
    </row>
    <row r="101" spans="1:9" x14ac:dyDescent="0.2">
      <c r="A101" s="2">
        <v>45615</v>
      </c>
      <c r="B101" s="1">
        <v>228.28</v>
      </c>
      <c r="C101">
        <f t="shared" si="7"/>
        <v>0.25999999999999091</v>
      </c>
      <c r="D101">
        <f t="shared" si="8"/>
        <v>0.25999999999999091</v>
      </c>
      <c r="E101">
        <f t="shared" si="9"/>
        <v>0</v>
      </c>
      <c r="F101">
        <f t="shared" si="10"/>
        <v>0.85928571428571432</v>
      </c>
      <c r="G101">
        <f t="shared" si="11"/>
        <v>0.51428571428571346</v>
      </c>
      <c r="H101">
        <f t="shared" si="12"/>
        <v>1.6708333333333361</v>
      </c>
      <c r="I101">
        <f t="shared" si="13"/>
        <v>62.558502340093639</v>
      </c>
    </row>
    <row r="102" spans="1:9" x14ac:dyDescent="0.2">
      <c r="A102" s="2">
        <v>45616</v>
      </c>
      <c r="B102" s="1">
        <v>229</v>
      </c>
      <c r="C102">
        <f t="shared" si="7"/>
        <v>0.71999999999999886</v>
      </c>
      <c r="D102">
        <f t="shared" si="8"/>
        <v>0.71999999999999886</v>
      </c>
      <c r="E102">
        <f t="shared" si="9"/>
        <v>0</v>
      </c>
      <c r="F102">
        <f t="shared" si="10"/>
        <v>0.9107142857142857</v>
      </c>
      <c r="G102">
        <f t="shared" si="11"/>
        <v>0.46214285714285708</v>
      </c>
      <c r="H102">
        <f t="shared" si="12"/>
        <v>1.9706336939721796</v>
      </c>
      <c r="I102">
        <f t="shared" si="13"/>
        <v>66.337148803329868</v>
      </c>
    </row>
    <row r="103" spans="1:9" x14ac:dyDescent="0.2">
      <c r="A103" s="2">
        <v>45617</v>
      </c>
      <c r="B103" s="1">
        <v>228.52</v>
      </c>
      <c r="C103">
        <f t="shared" si="7"/>
        <v>-0.47999999999998977</v>
      </c>
      <c r="D103">
        <f t="shared" si="8"/>
        <v>0</v>
      </c>
      <c r="E103">
        <f t="shared" si="9"/>
        <v>0.47999999999998977</v>
      </c>
      <c r="F103">
        <f t="shared" si="10"/>
        <v>0.5707142857142864</v>
      </c>
      <c r="G103">
        <f t="shared" si="11"/>
        <v>0.49642857142857061</v>
      </c>
      <c r="H103">
        <f t="shared" si="12"/>
        <v>1.1496402877697875</v>
      </c>
      <c r="I103">
        <f t="shared" si="13"/>
        <v>53.480589022757769</v>
      </c>
    </row>
    <row r="104" spans="1:9" x14ac:dyDescent="0.2">
      <c r="A104" s="2">
        <v>45618</v>
      </c>
      <c r="B104" s="1">
        <v>229.87</v>
      </c>
      <c r="C104">
        <f t="shared" si="7"/>
        <v>1.3499999999999943</v>
      </c>
      <c r="D104">
        <f t="shared" si="8"/>
        <v>1.3499999999999943</v>
      </c>
      <c r="E104">
        <f t="shared" si="9"/>
        <v>0</v>
      </c>
      <c r="F104">
        <f t="shared" si="10"/>
        <v>0.66714285714285737</v>
      </c>
      <c r="G104">
        <f t="shared" si="11"/>
        <v>0.4592857142857148</v>
      </c>
      <c r="H104">
        <f t="shared" si="12"/>
        <v>1.452566096423016</v>
      </c>
      <c r="I104">
        <f t="shared" si="13"/>
        <v>59.226379201014574</v>
      </c>
    </row>
    <row r="105" spans="1:9" x14ac:dyDescent="0.2">
      <c r="A105" s="2">
        <v>45621</v>
      </c>
      <c r="B105" s="1">
        <v>232.87</v>
      </c>
      <c r="C105">
        <f t="shared" si="7"/>
        <v>3</v>
      </c>
      <c r="D105">
        <f t="shared" si="8"/>
        <v>3</v>
      </c>
      <c r="E105">
        <f t="shared" si="9"/>
        <v>0</v>
      </c>
      <c r="F105">
        <f t="shared" si="10"/>
        <v>0.88142857142857167</v>
      </c>
      <c r="G105">
        <f t="shared" si="11"/>
        <v>0.26428571428571346</v>
      </c>
      <c r="H105">
        <f t="shared" si="12"/>
        <v>3.3351351351351464</v>
      </c>
      <c r="I105">
        <f t="shared" si="13"/>
        <v>76.932668329177119</v>
      </c>
    </row>
    <row r="106" spans="1:9" x14ac:dyDescent="0.2">
      <c r="A106" s="2">
        <v>45622</v>
      </c>
      <c r="B106" s="1">
        <v>235.06</v>
      </c>
      <c r="C106">
        <f t="shared" si="7"/>
        <v>2.1899999999999977</v>
      </c>
      <c r="D106">
        <f t="shared" si="8"/>
        <v>2.1899999999999977</v>
      </c>
      <c r="E106">
        <f t="shared" si="9"/>
        <v>0</v>
      </c>
      <c r="F106">
        <f t="shared" si="10"/>
        <v>1.037857142857143</v>
      </c>
      <c r="G106">
        <f t="shared" si="11"/>
        <v>0.26428571428571346</v>
      </c>
      <c r="H106">
        <f t="shared" si="12"/>
        <v>3.92702702702704</v>
      </c>
      <c r="I106">
        <f t="shared" si="13"/>
        <v>79.703784969829996</v>
      </c>
    </row>
    <row r="107" spans="1:9" x14ac:dyDescent="0.2">
      <c r="A107" s="2">
        <v>45623</v>
      </c>
      <c r="B107" s="1">
        <v>234.93</v>
      </c>
      <c r="C107">
        <f t="shared" si="7"/>
        <v>-0.12999999999999545</v>
      </c>
      <c r="D107">
        <f t="shared" si="8"/>
        <v>0</v>
      </c>
      <c r="E107">
        <f t="shared" si="9"/>
        <v>0.12999999999999545</v>
      </c>
      <c r="F107">
        <f t="shared" si="10"/>
        <v>0.97428571428571331</v>
      </c>
      <c r="G107">
        <f t="shared" si="11"/>
        <v>0.27357142857142741</v>
      </c>
      <c r="H107">
        <f t="shared" si="12"/>
        <v>3.561357702349881</v>
      </c>
      <c r="I107">
        <f t="shared" si="13"/>
        <v>78.07670291929027</v>
      </c>
    </row>
    <row r="108" spans="1:9" x14ac:dyDescent="0.2">
      <c r="A108" s="2">
        <v>45625</v>
      </c>
      <c r="B108" s="1">
        <v>237.33</v>
      </c>
      <c r="C108">
        <f t="shared" si="7"/>
        <v>2.4000000000000057</v>
      </c>
      <c r="D108">
        <f t="shared" si="8"/>
        <v>2.4000000000000057</v>
      </c>
      <c r="E108">
        <f t="shared" si="9"/>
        <v>0</v>
      </c>
      <c r="F108">
        <f t="shared" si="10"/>
        <v>0.92428571428571416</v>
      </c>
      <c r="G108">
        <f t="shared" si="11"/>
        <v>0.27357142857142741</v>
      </c>
      <c r="H108">
        <f t="shared" si="12"/>
        <v>3.3785900783289957</v>
      </c>
      <c r="I108">
        <f t="shared" si="13"/>
        <v>77.161598091830726</v>
      </c>
    </row>
    <row r="109" spans="1:9" x14ac:dyDescent="0.2">
      <c r="A109" s="2">
        <v>45628</v>
      </c>
      <c r="B109" s="1">
        <v>239.59</v>
      </c>
      <c r="C109">
        <f t="shared" si="7"/>
        <v>2.2599999999999909</v>
      </c>
      <c r="D109">
        <f t="shared" si="8"/>
        <v>2.2599999999999909</v>
      </c>
      <c r="E109">
        <f t="shared" si="9"/>
        <v>0</v>
      </c>
      <c r="F109">
        <f t="shared" si="10"/>
        <v>1.085714285714285</v>
      </c>
      <c r="G109">
        <f t="shared" si="11"/>
        <v>4.3571428571427519E-2</v>
      </c>
      <c r="H109">
        <f t="shared" si="12"/>
        <v>24.918032786885831</v>
      </c>
      <c r="I109">
        <f t="shared" si="13"/>
        <v>96.141682479443475</v>
      </c>
    </row>
    <row r="110" spans="1:9" x14ac:dyDescent="0.2">
      <c r="A110" s="2">
        <v>45629</v>
      </c>
      <c r="B110" s="1">
        <v>242.65</v>
      </c>
      <c r="C110">
        <f t="shared" si="7"/>
        <v>3.0600000000000023</v>
      </c>
      <c r="D110">
        <f t="shared" si="8"/>
        <v>3.0600000000000023</v>
      </c>
      <c r="E110">
        <f t="shared" si="9"/>
        <v>0</v>
      </c>
      <c r="F110">
        <f t="shared" si="10"/>
        <v>1.0885714285714272</v>
      </c>
      <c r="G110">
        <f t="shared" si="11"/>
        <v>4.3571428571427519E-2</v>
      </c>
      <c r="H110">
        <f t="shared" si="12"/>
        <v>24.98360655737762</v>
      </c>
      <c r="I110">
        <f t="shared" si="13"/>
        <v>96.151419558359706</v>
      </c>
    </row>
    <row r="111" spans="1:9" x14ac:dyDescent="0.2">
      <c r="A111" s="2">
        <v>45630</v>
      </c>
      <c r="B111" s="1">
        <v>243.01</v>
      </c>
      <c r="C111">
        <f t="shared" si="7"/>
        <v>0.35999999999998522</v>
      </c>
      <c r="D111">
        <f t="shared" si="8"/>
        <v>0.35999999999998522</v>
      </c>
      <c r="E111">
        <f t="shared" si="9"/>
        <v>0</v>
      </c>
      <c r="F111">
        <f t="shared" si="10"/>
        <v>1.0957142857142839</v>
      </c>
      <c r="G111">
        <f t="shared" si="11"/>
        <v>4.3571428571427519E-2</v>
      </c>
      <c r="H111">
        <f t="shared" si="12"/>
        <v>25.147540983607122</v>
      </c>
      <c r="I111">
        <f t="shared" si="13"/>
        <v>96.175548589341773</v>
      </c>
    </row>
    <row r="112" spans="1:9" x14ac:dyDescent="0.2">
      <c r="A112" s="2">
        <v>45631</v>
      </c>
      <c r="B112" s="1">
        <v>243.04</v>
      </c>
      <c r="C112">
        <f t="shared" si="7"/>
        <v>3.0000000000001137E-2</v>
      </c>
      <c r="D112">
        <f t="shared" si="8"/>
        <v>3.0000000000001137E-2</v>
      </c>
      <c r="E112">
        <f t="shared" si="9"/>
        <v>0</v>
      </c>
      <c r="F112">
        <f t="shared" si="10"/>
        <v>1.0464285714285697</v>
      </c>
      <c r="G112">
        <f t="shared" si="11"/>
        <v>4.3571428571427519E-2</v>
      </c>
      <c r="H112">
        <f t="shared" si="12"/>
        <v>24.016393442623492</v>
      </c>
      <c r="I112">
        <f t="shared" si="13"/>
        <v>96.00262123197912</v>
      </c>
    </row>
    <row r="113" spans="1:9" x14ac:dyDescent="0.2">
      <c r="A113" s="2">
        <v>45632</v>
      </c>
      <c r="B113" s="1">
        <v>242.84</v>
      </c>
      <c r="C113">
        <f t="shared" si="7"/>
        <v>-0.19999999999998863</v>
      </c>
      <c r="D113">
        <f t="shared" si="8"/>
        <v>0</v>
      </c>
      <c r="E113">
        <f t="shared" si="9"/>
        <v>0.19999999999998863</v>
      </c>
      <c r="F113">
        <f t="shared" si="10"/>
        <v>1.0464285714285697</v>
      </c>
      <c r="G113">
        <f t="shared" si="11"/>
        <v>2.3571428571427435E-2</v>
      </c>
      <c r="H113">
        <f t="shared" si="12"/>
        <v>44.393939393941459</v>
      </c>
      <c r="I113">
        <f t="shared" si="13"/>
        <v>97.797062750333879</v>
      </c>
    </row>
    <row r="114" spans="1:9" x14ac:dyDescent="0.2">
      <c r="A114" s="2">
        <v>45635</v>
      </c>
      <c r="B114" s="1">
        <v>246.75</v>
      </c>
      <c r="C114">
        <f t="shared" si="7"/>
        <v>3.9099999999999966</v>
      </c>
      <c r="D114">
        <f t="shared" si="8"/>
        <v>3.9099999999999966</v>
      </c>
      <c r="E114">
        <f t="shared" si="9"/>
        <v>0</v>
      </c>
      <c r="F114">
        <f t="shared" si="10"/>
        <v>1.2292857142857128</v>
      </c>
      <c r="G114">
        <f t="shared" si="11"/>
        <v>2.3571428571427435E-2</v>
      </c>
      <c r="H114">
        <f t="shared" si="12"/>
        <v>52.1515151515176</v>
      </c>
      <c r="I114">
        <f t="shared" si="13"/>
        <v>98.118586088939651</v>
      </c>
    </row>
    <row r="115" spans="1:9" x14ac:dyDescent="0.2">
      <c r="A115" s="2">
        <v>45636</v>
      </c>
      <c r="B115" s="1">
        <v>247.77</v>
      </c>
      <c r="C115">
        <f t="shared" si="7"/>
        <v>1.0200000000000102</v>
      </c>
      <c r="D115">
        <f t="shared" si="8"/>
        <v>1.0200000000000102</v>
      </c>
      <c r="E115">
        <f t="shared" si="9"/>
        <v>0</v>
      </c>
      <c r="F115">
        <f t="shared" si="10"/>
        <v>1.0878571428571422</v>
      </c>
      <c r="G115">
        <f t="shared" si="11"/>
        <v>2.3571428571427435E-2</v>
      </c>
      <c r="H115">
        <f t="shared" si="12"/>
        <v>46.151515151517351</v>
      </c>
      <c r="I115">
        <f t="shared" si="13"/>
        <v>97.879177377892134</v>
      </c>
    </row>
    <row r="116" spans="1:9" x14ac:dyDescent="0.2">
      <c r="A116" s="2">
        <v>45637</v>
      </c>
      <c r="B116" s="1">
        <v>246.49</v>
      </c>
      <c r="C116">
        <f t="shared" si="7"/>
        <v>-1.2800000000000011</v>
      </c>
      <c r="D116">
        <f t="shared" si="8"/>
        <v>0</v>
      </c>
      <c r="E116">
        <f t="shared" si="9"/>
        <v>1.2800000000000011</v>
      </c>
      <c r="F116">
        <f t="shared" si="10"/>
        <v>0.93142857142857083</v>
      </c>
      <c r="G116">
        <f t="shared" si="11"/>
        <v>0.11499999999999895</v>
      </c>
      <c r="H116">
        <f t="shared" si="12"/>
        <v>8.0993788819876471</v>
      </c>
      <c r="I116">
        <f t="shared" si="13"/>
        <v>89.01023890784991</v>
      </c>
    </row>
    <row r="117" spans="1:9" x14ac:dyDescent="0.2">
      <c r="A117" s="2">
        <v>45638</v>
      </c>
      <c r="B117" s="1">
        <v>247.96</v>
      </c>
      <c r="C117">
        <f t="shared" si="7"/>
        <v>1.4699999999999989</v>
      </c>
      <c r="D117">
        <f t="shared" si="8"/>
        <v>1.4699999999999989</v>
      </c>
      <c r="E117">
        <f t="shared" si="9"/>
        <v>0</v>
      </c>
      <c r="F117">
        <f t="shared" si="10"/>
        <v>1.0364285714285708</v>
      </c>
      <c r="G117">
        <f t="shared" si="11"/>
        <v>0.10571428571428498</v>
      </c>
      <c r="H117">
        <f t="shared" si="12"/>
        <v>9.8040540540541166</v>
      </c>
      <c r="I117">
        <f t="shared" si="13"/>
        <v>90.744215134459097</v>
      </c>
    </row>
    <row r="118" spans="1:9" x14ac:dyDescent="0.2">
      <c r="A118" s="2">
        <v>45639</v>
      </c>
      <c r="B118" s="1">
        <v>248.13</v>
      </c>
      <c r="C118">
        <f t="shared" si="7"/>
        <v>0.16999999999998749</v>
      </c>
      <c r="D118">
        <f t="shared" si="8"/>
        <v>0.16999999999998749</v>
      </c>
      <c r="E118">
        <f t="shared" si="9"/>
        <v>0</v>
      </c>
      <c r="F118">
        <f t="shared" si="10"/>
        <v>0.87714285714285523</v>
      </c>
      <c r="G118">
        <f t="shared" si="11"/>
        <v>0.10571428571428498</v>
      </c>
      <c r="H118">
        <f t="shared" si="12"/>
        <v>8.2972972972973373</v>
      </c>
      <c r="I118">
        <f t="shared" si="13"/>
        <v>89.244186046511672</v>
      </c>
    </row>
    <row r="119" spans="1:9" x14ac:dyDescent="0.2">
      <c r="A119" s="2">
        <v>45642</v>
      </c>
      <c r="B119" s="1">
        <v>251.04</v>
      </c>
      <c r="C119">
        <f t="shared" si="7"/>
        <v>2.9099999999999966</v>
      </c>
      <c r="D119">
        <f t="shared" si="8"/>
        <v>2.9099999999999966</v>
      </c>
      <c r="E119">
        <f t="shared" si="9"/>
        <v>0</v>
      </c>
      <c r="F119">
        <f t="shared" si="10"/>
        <v>0.92357142857142704</v>
      </c>
      <c r="G119">
        <f t="shared" si="11"/>
        <v>0.10571428571428498</v>
      </c>
      <c r="H119">
        <f t="shared" si="12"/>
        <v>8.7364864864865321</v>
      </c>
      <c r="I119">
        <f t="shared" si="13"/>
        <v>89.729354614850848</v>
      </c>
    </row>
    <row r="120" spans="1:9" x14ac:dyDescent="0.2">
      <c r="A120" s="2">
        <v>45643</v>
      </c>
      <c r="B120" s="1">
        <v>253.48</v>
      </c>
      <c r="C120">
        <f t="shared" si="7"/>
        <v>2.4399999999999977</v>
      </c>
      <c r="D120">
        <f t="shared" si="8"/>
        <v>2.4399999999999977</v>
      </c>
      <c r="E120">
        <f t="shared" si="9"/>
        <v>0</v>
      </c>
      <c r="F120">
        <f t="shared" si="10"/>
        <v>0.87928571428571245</v>
      </c>
      <c r="G120">
        <f t="shared" si="11"/>
        <v>0.10571428571428498</v>
      </c>
      <c r="H120">
        <f t="shared" si="12"/>
        <v>8.3175675675676075</v>
      </c>
      <c r="I120">
        <f t="shared" si="13"/>
        <v>89.267585206671555</v>
      </c>
    </row>
    <row r="121" spans="1:9" x14ac:dyDescent="0.2">
      <c r="A121" s="2">
        <v>45644</v>
      </c>
      <c r="B121" s="1">
        <v>248.05</v>
      </c>
      <c r="C121">
        <f t="shared" si="7"/>
        <v>-5.4299999999999784</v>
      </c>
      <c r="D121">
        <f t="shared" si="8"/>
        <v>0</v>
      </c>
      <c r="E121">
        <f t="shared" si="9"/>
        <v>5.4299999999999784</v>
      </c>
      <c r="F121">
        <f t="shared" si="10"/>
        <v>0.85357142857142776</v>
      </c>
      <c r="G121">
        <f t="shared" si="11"/>
        <v>0.49357142857142627</v>
      </c>
      <c r="H121">
        <f t="shared" si="12"/>
        <v>1.7293777134587618</v>
      </c>
      <c r="I121">
        <f t="shared" si="13"/>
        <v>63.36161187698842</v>
      </c>
    </row>
    <row r="122" spans="1:9" x14ac:dyDescent="0.2">
      <c r="A122" s="2">
        <v>45645</v>
      </c>
      <c r="B122" s="1">
        <v>249.79</v>
      </c>
      <c r="C122">
        <f t="shared" si="7"/>
        <v>1.7399999999999807</v>
      </c>
      <c r="D122">
        <f t="shared" si="8"/>
        <v>1.7399999999999807</v>
      </c>
      <c r="E122">
        <f t="shared" si="9"/>
        <v>0</v>
      </c>
      <c r="F122">
        <f t="shared" si="10"/>
        <v>0.97571428571428342</v>
      </c>
      <c r="G122">
        <f t="shared" si="11"/>
        <v>0.49357142857142627</v>
      </c>
      <c r="H122">
        <f t="shared" si="12"/>
        <v>1.9768451519536949</v>
      </c>
      <c r="I122">
        <f t="shared" si="13"/>
        <v>66.407389402041858</v>
      </c>
    </row>
    <row r="123" spans="1:9" x14ac:dyDescent="0.2">
      <c r="A123" s="2">
        <v>45646</v>
      </c>
      <c r="B123" s="1">
        <v>254.49</v>
      </c>
      <c r="C123">
        <f t="shared" si="7"/>
        <v>4.7000000000000171</v>
      </c>
      <c r="D123">
        <f t="shared" si="8"/>
        <v>4.7000000000000171</v>
      </c>
      <c r="E123">
        <f t="shared" si="9"/>
        <v>0</v>
      </c>
      <c r="F123">
        <f t="shared" si="10"/>
        <v>1.3114285714285703</v>
      </c>
      <c r="G123">
        <f t="shared" si="11"/>
        <v>0.47928571428571282</v>
      </c>
      <c r="H123">
        <f t="shared" si="12"/>
        <v>2.7362146050670701</v>
      </c>
      <c r="I123">
        <f t="shared" si="13"/>
        <v>73.234942161946591</v>
      </c>
    </row>
    <row r="124" spans="1:9" x14ac:dyDescent="0.2">
      <c r="A124" s="2">
        <v>45649</v>
      </c>
      <c r="B124" s="1">
        <v>255.27</v>
      </c>
      <c r="C124">
        <f t="shared" si="7"/>
        <v>0.78000000000000114</v>
      </c>
      <c r="D124">
        <f t="shared" si="8"/>
        <v>0.78000000000000114</v>
      </c>
      <c r="E124">
        <f t="shared" si="9"/>
        <v>0</v>
      </c>
      <c r="F124">
        <f t="shared" si="10"/>
        <v>1.0878571428571422</v>
      </c>
      <c r="G124">
        <f t="shared" si="11"/>
        <v>0.47928571428571282</v>
      </c>
      <c r="H124">
        <f t="shared" si="12"/>
        <v>2.2697466467958325</v>
      </c>
      <c r="I124">
        <f t="shared" si="13"/>
        <v>69.416590701914359</v>
      </c>
    </row>
    <row r="125" spans="1:9" x14ac:dyDescent="0.2">
      <c r="A125" s="2">
        <v>45650</v>
      </c>
      <c r="B125" s="1">
        <v>258.2</v>
      </c>
      <c r="C125">
        <f t="shared" si="7"/>
        <v>2.9299999999999784</v>
      </c>
      <c r="D125">
        <f t="shared" si="8"/>
        <v>2.9299999999999784</v>
      </c>
      <c r="E125">
        <f t="shared" si="9"/>
        <v>0</v>
      </c>
      <c r="F125">
        <f t="shared" si="10"/>
        <v>1.2242857142857113</v>
      </c>
      <c r="G125">
        <f t="shared" si="11"/>
        <v>0.47928571428571282</v>
      </c>
      <c r="H125">
        <f t="shared" si="12"/>
        <v>2.5543964232488841</v>
      </c>
      <c r="I125">
        <f t="shared" si="13"/>
        <v>71.865828092243206</v>
      </c>
    </row>
    <row r="126" spans="1:9" x14ac:dyDescent="0.2">
      <c r="A126" s="2">
        <v>45652</v>
      </c>
      <c r="B126" s="1">
        <v>259.02</v>
      </c>
      <c r="C126">
        <f t="shared" si="7"/>
        <v>0.81999999999999318</v>
      </c>
      <c r="D126">
        <f t="shared" si="8"/>
        <v>0.81999999999999318</v>
      </c>
      <c r="E126">
        <f t="shared" si="9"/>
        <v>0</v>
      </c>
      <c r="F126">
        <f t="shared" si="10"/>
        <v>1.2828571428571394</v>
      </c>
      <c r="G126">
        <f t="shared" si="11"/>
        <v>0.38785714285714129</v>
      </c>
      <c r="H126">
        <f t="shared" si="12"/>
        <v>3.3075506445672236</v>
      </c>
      <c r="I126">
        <f t="shared" si="13"/>
        <v>76.784950833689635</v>
      </c>
    </row>
    <row r="127" spans="1:9" x14ac:dyDescent="0.2">
      <c r="A127" s="2">
        <v>45653</v>
      </c>
      <c r="B127" s="1">
        <v>255.59</v>
      </c>
      <c r="C127">
        <f t="shared" si="7"/>
        <v>-3.4299999999999784</v>
      </c>
      <c r="D127">
        <f t="shared" si="8"/>
        <v>0</v>
      </c>
      <c r="E127">
        <f t="shared" si="9"/>
        <v>3.4299999999999784</v>
      </c>
      <c r="F127">
        <f t="shared" si="10"/>
        <v>1.1778571428571394</v>
      </c>
      <c r="G127">
        <f t="shared" si="11"/>
        <v>0.63285714285713979</v>
      </c>
      <c r="H127">
        <f t="shared" si="12"/>
        <v>1.8611738148984234</v>
      </c>
      <c r="I127">
        <f t="shared" si="13"/>
        <v>65.04930966469432</v>
      </c>
    </row>
    <row r="128" spans="1:9" x14ac:dyDescent="0.2">
      <c r="A128" s="2">
        <v>45656</v>
      </c>
      <c r="B128" s="1">
        <v>252.2</v>
      </c>
      <c r="C128">
        <f t="shared" si="7"/>
        <v>-3.3900000000000148</v>
      </c>
      <c r="D128">
        <f t="shared" si="8"/>
        <v>0</v>
      </c>
      <c r="E128">
        <f t="shared" si="9"/>
        <v>3.3900000000000148</v>
      </c>
      <c r="F128">
        <f t="shared" si="10"/>
        <v>1.1657142857142833</v>
      </c>
      <c r="G128">
        <f t="shared" si="11"/>
        <v>0.874999999999998</v>
      </c>
      <c r="H128">
        <f t="shared" si="12"/>
        <v>1.3322448979591839</v>
      </c>
      <c r="I128">
        <f t="shared" si="13"/>
        <v>57.122856142807137</v>
      </c>
    </row>
    <row r="129" spans="1:9" x14ac:dyDescent="0.2">
      <c r="A129" s="2">
        <v>45657</v>
      </c>
      <c r="B129" s="1">
        <v>250.42</v>
      </c>
      <c r="C129">
        <f t="shared" si="7"/>
        <v>-1.7800000000000011</v>
      </c>
      <c r="D129">
        <f t="shared" si="8"/>
        <v>0</v>
      </c>
      <c r="E129">
        <f t="shared" si="9"/>
        <v>1.7800000000000011</v>
      </c>
      <c r="F129">
        <f t="shared" si="10"/>
        <v>0.95785714285714063</v>
      </c>
      <c r="G129">
        <f t="shared" si="11"/>
        <v>1.0021428571428552</v>
      </c>
      <c r="H129">
        <f t="shared" si="12"/>
        <v>0.95580898075552345</v>
      </c>
      <c r="I129">
        <f t="shared" si="13"/>
        <v>48.87026239067054</v>
      </c>
    </row>
    <row r="130" spans="1:9" x14ac:dyDescent="0.2">
      <c r="A130" s="2">
        <v>45659</v>
      </c>
      <c r="B130" s="1">
        <v>243.85</v>
      </c>
      <c r="C130">
        <f t="shared" si="7"/>
        <v>-6.5699999999999932</v>
      </c>
      <c r="D130">
        <f t="shared" si="8"/>
        <v>0</v>
      </c>
      <c r="E130">
        <f t="shared" si="9"/>
        <v>6.5699999999999932</v>
      </c>
      <c r="F130">
        <f t="shared" si="10"/>
        <v>0.78357142857142648</v>
      </c>
      <c r="G130">
        <f t="shared" si="11"/>
        <v>1.4714285714285691</v>
      </c>
      <c r="H130">
        <f t="shared" si="12"/>
        <v>0.53252427184465967</v>
      </c>
      <c r="I130">
        <f t="shared" si="13"/>
        <v>34.748178650617646</v>
      </c>
    </row>
    <row r="131" spans="1:9" x14ac:dyDescent="0.2">
      <c r="A131" s="2">
        <v>45660</v>
      </c>
      <c r="B131" s="1">
        <v>243.36</v>
      </c>
      <c r="C131">
        <f t="shared" si="7"/>
        <v>-0.48999999999998067</v>
      </c>
      <c r="D131">
        <f t="shared" si="8"/>
        <v>0</v>
      </c>
      <c r="E131">
        <f t="shared" si="9"/>
        <v>0.48999999999998067</v>
      </c>
      <c r="F131">
        <f t="shared" si="10"/>
        <v>0.78357142857142648</v>
      </c>
      <c r="G131">
        <f t="shared" si="11"/>
        <v>1.1185714285714263</v>
      </c>
      <c r="H131">
        <f t="shared" si="12"/>
        <v>0.70051085568326898</v>
      </c>
      <c r="I131">
        <f t="shared" si="13"/>
        <v>41.1941419451746</v>
      </c>
    </row>
    <row r="132" spans="1:9" x14ac:dyDescent="0.2">
      <c r="A132" s="2">
        <v>45663</v>
      </c>
      <c r="B132" s="1">
        <v>245</v>
      </c>
      <c r="C132">
        <f t="shared" ref="C132:C193" si="14">B132-B131</f>
        <v>1.6399999999999864</v>
      </c>
      <c r="D132">
        <f t="shared" ref="D132:D189" si="15">IF(C132&gt;0,C132,0)</f>
        <v>1.6399999999999864</v>
      </c>
      <c r="E132">
        <f t="shared" ref="E132:E189" si="16">IF(C132&lt;0,-C132,0)</f>
        <v>0</v>
      </c>
      <c r="F132">
        <f t="shared" si="10"/>
        <v>0.77642857142856969</v>
      </c>
      <c r="G132">
        <f t="shared" si="11"/>
        <v>1.1185714285714263</v>
      </c>
      <c r="H132">
        <f t="shared" si="12"/>
        <v>0.69412515964240085</v>
      </c>
      <c r="I132">
        <f t="shared" si="13"/>
        <v>40.972483980399538</v>
      </c>
    </row>
    <row r="133" spans="1:9" x14ac:dyDescent="0.2">
      <c r="A133" s="2">
        <v>45664</v>
      </c>
      <c r="B133" s="1">
        <v>242.21</v>
      </c>
      <c r="C133">
        <f t="shared" si="14"/>
        <v>-2.789999999999992</v>
      </c>
      <c r="D133">
        <f t="shared" si="15"/>
        <v>0</v>
      </c>
      <c r="E133">
        <f t="shared" si="16"/>
        <v>2.789999999999992</v>
      </c>
      <c r="F133">
        <f t="shared" si="10"/>
        <v>0.44071428571428278</v>
      </c>
      <c r="G133">
        <f t="shared" si="11"/>
        <v>1.31785714285714</v>
      </c>
      <c r="H133">
        <f t="shared" si="12"/>
        <v>0.33441734417344027</v>
      </c>
      <c r="I133">
        <f t="shared" si="13"/>
        <v>25.060926076360587</v>
      </c>
    </row>
    <row r="134" spans="1:9" x14ac:dyDescent="0.2">
      <c r="A134" s="2">
        <v>45665</v>
      </c>
      <c r="B134" s="1">
        <v>242.7</v>
      </c>
      <c r="C134">
        <f t="shared" si="14"/>
        <v>0.48999999999998067</v>
      </c>
      <c r="D134">
        <f t="shared" si="15"/>
        <v>0.48999999999998067</v>
      </c>
      <c r="E134">
        <f t="shared" si="16"/>
        <v>0</v>
      </c>
      <c r="F134">
        <f t="shared" si="10"/>
        <v>0.4199999999999956</v>
      </c>
      <c r="G134">
        <f t="shared" si="11"/>
        <v>1.31785714285714</v>
      </c>
      <c r="H134">
        <f t="shared" si="12"/>
        <v>0.31869918699186728</v>
      </c>
      <c r="I134">
        <f t="shared" si="13"/>
        <v>24.167694204685432</v>
      </c>
    </row>
    <row r="135" spans="1:9" x14ac:dyDescent="0.2">
      <c r="A135" s="2">
        <v>45667</v>
      </c>
      <c r="B135" s="1">
        <v>236.85</v>
      </c>
      <c r="C135">
        <f t="shared" si="14"/>
        <v>-5.8499999999999943</v>
      </c>
      <c r="D135">
        <f t="shared" si="15"/>
        <v>0</v>
      </c>
      <c r="E135">
        <f t="shared" si="16"/>
        <v>5.8499999999999943</v>
      </c>
      <c r="F135">
        <f t="shared" si="10"/>
        <v>0.21071428571428288</v>
      </c>
      <c r="G135">
        <f t="shared" si="11"/>
        <v>1.7357142857142824</v>
      </c>
      <c r="H135">
        <f t="shared" si="12"/>
        <v>0.12139917695473111</v>
      </c>
      <c r="I135">
        <f t="shared" si="13"/>
        <v>10.825688073394389</v>
      </c>
    </row>
    <row r="136" spans="1:9" x14ac:dyDescent="0.2">
      <c r="A136" s="2">
        <v>45670</v>
      </c>
      <c r="B136" s="1">
        <v>234.4</v>
      </c>
      <c r="C136">
        <f t="shared" si="14"/>
        <v>-2.4499999999999886</v>
      </c>
      <c r="D136">
        <f t="shared" si="15"/>
        <v>0</v>
      </c>
      <c r="E136">
        <f t="shared" si="16"/>
        <v>2.4499999999999886</v>
      </c>
      <c r="F136">
        <f t="shared" si="10"/>
        <v>0.15214285714285478</v>
      </c>
      <c r="G136">
        <f t="shared" si="11"/>
        <v>1.9107142857142816</v>
      </c>
      <c r="H136">
        <f t="shared" si="12"/>
        <v>7.9626168224297994E-2</v>
      </c>
      <c r="I136">
        <f t="shared" si="13"/>
        <v>7.3753462603877153</v>
      </c>
    </row>
    <row r="137" spans="1:9" x14ac:dyDescent="0.2">
      <c r="A137" s="2">
        <v>45671</v>
      </c>
      <c r="B137" s="1">
        <v>233.28</v>
      </c>
      <c r="C137">
        <f t="shared" si="14"/>
        <v>-1.1200000000000045</v>
      </c>
      <c r="D137">
        <f t="shared" si="15"/>
        <v>0</v>
      </c>
      <c r="E137">
        <f t="shared" si="16"/>
        <v>1.1200000000000045</v>
      </c>
      <c r="F137">
        <f t="shared" si="10"/>
        <v>0.15214285714285478</v>
      </c>
      <c r="G137">
        <f t="shared" si="11"/>
        <v>1.7457142857142836</v>
      </c>
      <c r="H137">
        <f t="shared" si="12"/>
        <v>8.7152209492633775E-2</v>
      </c>
      <c r="I137">
        <f t="shared" si="13"/>
        <v>8.0165600301090478</v>
      </c>
    </row>
    <row r="138" spans="1:9" x14ac:dyDescent="0.2">
      <c r="A138" s="2">
        <v>45672</v>
      </c>
      <c r="B138" s="1">
        <v>237.87</v>
      </c>
      <c r="C138">
        <f t="shared" si="14"/>
        <v>4.5900000000000034</v>
      </c>
      <c r="D138">
        <f t="shared" si="15"/>
        <v>4.5900000000000034</v>
      </c>
      <c r="E138">
        <f t="shared" si="16"/>
        <v>0</v>
      </c>
      <c r="F138">
        <f t="shared" si="10"/>
        <v>0.47999999999999787</v>
      </c>
      <c r="G138">
        <f t="shared" si="11"/>
        <v>1.5035714285714252</v>
      </c>
      <c r="H138">
        <f t="shared" si="12"/>
        <v>0.31923990498812282</v>
      </c>
      <c r="I138">
        <f t="shared" si="13"/>
        <v>24.198775657183972</v>
      </c>
    </row>
    <row r="139" spans="1:9" x14ac:dyDescent="0.2">
      <c r="A139" s="2">
        <v>45673</v>
      </c>
      <c r="B139" s="1">
        <v>228.26</v>
      </c>
      <c r="C139">
        <f t="shared" si="14"/>
        <v>-9.6100000000000136</v>
      </c>
      <c r="D139">
        <f t="shared" si="15"/>
        <v>0</v>
      </c>
      <c r="E139">
        <f t="shared" si="16"/>
        <v>9.6100000000000136</v>
      </c>
      <c r="F139">
        <f t="shared" si="10"/>
        <v>0.47999999999999787</v>
      </c>
      <c r="G139">
        <f t="shared" si="11"/>
        <v>2.0628571428571405</v>
      </c>
      <c r="H139">
        <f t="shared" si="12"/>
        <v>0.2326869806094175</v>
      </c>
      <c r="I139">
        <f t="shared" si="13"/>
        <v>18.876404494381958</v>
      </c>
    </row>
    <row r="140" spans="1:9" x14ac:dyDescent="0.2">
      <c r="A140" s="2">
        <v>45674</v>
      </c>
      <c r="B140" s="1">
        <v>229.98</v>
      </c>
      <c r="C140">
        <f t="shared" si="14"/>
        <v>1.7199999999999989</v>
      </c>
      <c r="D140">
        <f t="shared" si="15"/>
        <v>1.7199999999999989</v>
      </c>
      <c r="E140">
        <f t="shared" si="16"/>
        <v>0</v>
      </c>
      <c r="F140">
        <f t="shared" ref="F140:F189" si="17">SUM(D131:D140)/14</f>
        <v>0.60285714285714065</v>
      </c>
      <c r="G140">
        <f t="shared" ref="G140:G189" si="18">SUM(E131:E140)/14</f>
        <v>1.5935714285714266</v>
      </c>
      <c r="H140">
        <f t="shared" ref="H140:H189" si="19">F140/G140</f>
        <v>0.37830569251456653</v>
      </c>
      <c r="I140">
        <f t="shared" ref="I140:I189" si="20">IF(G140=0,100,100-(100/(1+H140)))</f>
        <v>27.447154471544664</v>
      </c>
    </row>
    <row r="141" spans="1:9" x14ac:dyDescent="0.2">
      <c r="A141" s="2">
        <v>45678</v>
      </c>
      <c r="B141" s="1">
        <v>222.64</v>
      </c>
      <c r="C141">
        <f t="shared" si="14"/>
        <v>-7.3400000000000034</v>
      </c>
      <c r="D141">
        <f t="shared" si="15"/>
        <v>0</v>
      </c>
      <c r="E141">
        <f t="shared" si="16"/>
        <v>7.3400000000000034</v>
      </c>
      <c r="F141">
        <f t="shared" si="17"/>
        <v>0.60285714285714065</v>
      </c>
      <c r="G141">
        <f t="shared" si="18"/>
        <v>2.0828571428571427</v>
      </c>
      <c r="H141">
        <f t="shared" si="19"/>
        <v>0.28943758573388101</v>
      </c>
      <c r="I141">
        <f t="shared" si="20"/>
        <v>22.446808510638235</v>
      </c>
    </row>
    <row r="142" spans="1:9" x14ac:dyDescent="0.2">
      <c r="A142" s="2">
        <v>45679</v>
      </c>
      <c r="B142" s="1">
        <v>223.83</v>
      </c>
      <c r="C142">
        <f t="shared" si="14"/>
        <v>1.1900000000000261</v>
      </c>
      <c r="D142">
        <f t="shared" si="15"/>
        <v>1.1900000000000261</v>
      </c>
      <c r="E142">
        <f t="shared" si="16"/>
        <v>0</v>
      </c>
      <c r="F142">
        <f t="shared" si="17"/>
        <v>0.5707142857142864</v>
      </c>
      <c r="G142">
        <f t="shared" si="18"/>
        <v>2.0828571428571427</v>
      </c>
      <c r="H142">
        <f t="shared" si="19"/>
        <v>0.27400548696845028</v>
      </c>
      <c r="I142">
        <f t="shared" si="20"/>
        <v>21.507402422611065</v>
      </c>
    </row>
    <row r="143" spans="1:9" x14ac:dyDescent="0.2">
      <c r="A143" s="2">
        <v>45680</v>
      </c>
      <c r="B143" s="1">
        <v>223.66</v>
      </c>
      <c r="C143">
        <f t="shared" si="14"/>
        <v>-0.17000000000001592</v>
      </c>
      <c r="D143">
        <f t="shared" si="15"/>
        <v>0</v>
      </c>
      <c r="E143">
        <f t="shared" si="16"/>
        <v>0.17000000000001592</v>
      </c>
      <c r="F143">
        <f t="shared" si="17"/>
        <v>0.5707142857142864</v>
      </c>
      <c r="G143">
        <f t="shared" si="18"/>
        <v>1.8957142857142872</v>
      </c>
      <c r="H143">
        <f t="shared" si="19"/>
        <v>0.30105501130369267</v>
      </c>
      <c r="I143">
        <f t="shared" si="20"/>
        <v>23.1392991601506</v>
      </c>
    </row>
    <row r="144" spans="1:9" x14ac:dyDescent="0.2">
      <c r="A144" s="2">
        <v>45681</v>
      </c>
      <c r="B144" s="1">
        <v>222.78</v>
      </c>
      <c r="C144">
        <f t="shared" si="14"/>
        <v>-0.87999999999999545</v>
      </c>
      <c r="D144">
        <f t="shared" si="15"/>
        <v>0</v>
      </c>
      <c r="E144">
        <f t="shared" si="16"/>
        <v>0.87999999999999545</v>
      </c>
      <c r="F144">
        <f t="shared" si="17"/>
        <v>0.5357142857142877</v>
      </c>
      <c r="G144">
        <f t="shared" si="18"/>
        <v>1.9585714285714297</v>
      </c>
      <c r="H144">
        <f t="shared" si="19"/>
        <v>0.27352297592997898</v>
      </c>
      <c r="I144">
        <f t="shared" si="20"/>
        <v>21.477663230240594</v>
      </c>
    </row>
    <row r="145" spans="1:9" x14ac:dyDescent="0.2">
      <c r="A145" s="2">
        <v>45684</v>
      </c>
      <c r="B145" s="1">
        <v>229.86</v>
      </c>
      <c r="C145">
        <f t="shared" si="14"/>
        <v>7.0800000000000125</v>
      </c>
      <c r="D145">
        <f t="shared" si="15"/>
        <v>7.0800000000000125</v>
      </c>
      <c r="E145">
        <f t="shared" si="16"/>
        <v>0</v>
      </c>
      <c r="F145">
        <f t="shared" si="17"/>
        <v>1.0414285714285743</v>
      </c>
      <c r="G145">
        <f t="shared" si="18"/>
        <v>1.5407142857142873</v>
      </c>
      <c r="H145">
        <f t="shared" si="19"/>
        <v>0.67593880389429883</v>
      </c>
      <c r="I145">
        <f t="shared" si="20"/>
        <v>40.331950207468921</v>
      </c>
    </row>
    <row r="146" spans="1:9" x14ac:dyDescent="0.2">
      <c r="A146" s="2">
        <v>45685</v>
      </c>
      <c r="B146" s="1">
        <v>238.26</v>
      </c>
      <c r="C146">
        <f t="shared" si="14"/>
        <v>8.3999999999999773</v>
      </c>
      <c r="D146">
        <f t="shared" si="15"/>
        <v>8.3999999999999773</v>
      </c>
      <c r="E146">
        <f t="shared" si="16"/>
        <v>0</v>
      </c>
      <c r="F146">
        <f t="shared" si="17"/>
        <v>1.6414285714285728</v>
      </c>
      <c r="G146">
        <f t="shared" si="18"/>
        <v>1.3657142857142881</v>
      </c>
      <c r="H146">
        <f t="shared" si="19"/>
        <v>1.2018828451882835</v>
      </c>
      <c r="I146">
        <f t="shared" si="20"/>
        <v>54.584323040380021</v>
      </c>
    </row>
    <row r="147" spans="1:9" x14ac:dyDescent="0.2">
      <c r="A147" s="2">
        <v>45686</v>
      </c>
      <c r="B147" s="1">
        <v>239.36</v>
      </c>
      <c r="C147">
        <f t="shared" si="14"/>
        <v>1.1000000000000227</v>
      </c>
      <c r="D147">
        <f t="shared" si="15"/>
        <v>1.1000000000000227</v>
      </c>
      <c r="E147">
        <f t="shared" si="16"/>
        <v>0</v>
      </c>
      <c r="F147">
        <f t="shared" si="17"/>
        <v>1.7200000000000029</v>
      </c>
      <c r="G147">
        <f t="shared" si="18"/>
        <v>1.2857142857142878</v>
      </c>
      <c r="H147">
        <f t="shared" si="19"/>
        <v>1.3377777777777777</v>
      </c>
      <c r="I147">
        <f t="shared" si="20"/>
        <v>57.224334600760457</v>
      </c>
    </row>
    <row r="148" spans="1:9" x14ac:dyDescent="0.2">
      <c r="A148" s="2">
        <v>45687</v>
      </c>
      <c r="B148" s="1">
        <v>237.59</v>
      </c>
      <c r="C148">
        <f t="shared" si="14"/>
        <v>-1.7700000000000102</v>
      </c>
      <c r="D148">
        <f t="shared" si="15"/>
        <v>0</v>
      </c>
      <c r="E148">
        <f t="shared" si="16"/>
        <v>1.7700000000000102</v>
      </c>
      <c r="F148">
        <f t="shared" si="17"/>
        <v>1.3921428571428598</v>
      </c>
      <c r="G148">
        <f t="shared" si="18"/>
        <v>1.4121428571428598</v>
      </c>
      <c r="H148">
        <f t="shared" si="19"/>
        <v>0.98583712696004044</v>
      </c>
      <c r="I148">
        <f t="shared" si="20"/>
        <v>49.643402954661227</v>
      </c>
    </row>
    <row r="149" spans="1:9" x14ac:dyDescent="0.2">
      <c r="A149" s="2">
        <v>45688</v>
      </c>
      <c r="B149" s="1">
        <v>236</v>
      </c>
      <c r="C149">
        <f t="shared" si="14"/>
        <v>-1.5900000000000034</v>
      </c>
      <c r="D149">
        <f t="shared" si="15"/>
        <v>0</v>
      </c>
      <c r="E149">
        <f t="shared" si="16"/>
        <v>1.5900000000000034</v>
      </c>
      <c r="F149">
        <f t="shared" si="17"/>
        <v>1.3921428571428598</v>
      </c>
      <c r="G149">
        <f t="shared" si="18"/>
        <v>0.8392857142857163</v>
      </c>
      <c r="H149">
        <f t="shared" si="19"/>
        <v>1.6587234042553183</v>
      </c>
      <c r="I149">
        <f t="shared" si="20"/>
        <v>62.387964148527516</v>
      </c>
    </row>
    <row r="150" spans="1:9" x14ac:dyDescent="0.2">
      <c r="A150" s="2">
        <v>45691</v>
      </c>
      <c r="B150" s="1">
        <v>228.01</v>
      </c>
      <c r="C150">
        <f t="shared" si="14"/>
        <v>-7.9900000000000091</v>
      </c>
      <c r="D150">
        <f t="shared" si="15"/>
        <v>0</v>
      </c>
      <c r="E150">
        <f t="shared" si="16"/>
        <v>7.9900000000000091</v>
      </c>
      <c r="F150">
        <f t="shared" si="17"/>
        <v>1.269285714285717</v>
      </c>
      <c r="G150">
        <f t="shared" si="18"/>
        <v>1.4100000000000026</v>
      </c>
      <c r="H150">
        <f t="shared" si="19"/>
        <v>0.90020263424518776</v>
      </c>
      <c r="I150">
        <f t="shared" si="20"/>
        <v>47.374033591042398</v>
      </c>
    </row>
    <row r="151" spans="1:9" x14ac:dyDescent="0.2">
      <c r="A151" s="2">
        <v>45692</v>
      </c>
      <c r="B151" s="1">
        <v>232.8</v>
      </c>
      <c r="C151">
        <f t="shared" si="14"/>
        <v>4.7900000000000205</v>
      </c>
      <c r="D151">
        <f t="shared" si="15"/>
        <v>4.7900000000000205</v>
      </c>
      <c r="E151">
        <f t="shared" si="16"/>
        <v>0</v>
      </c>
      <c r="F151">
        <f t="shared" si="17"/>
        <v>1.6114285714285757</v>
      </c>
      <c r="G151">
        <f t="shared" si="18"/>
        <v>0.88571428571428812</v>
      </c>
      <c r="H151">
        <f t="shared" si="19"/>
        <v>1.8193548387096772</v>
      </c>
      <c r="I151">
        <f t="shared" si="20"/>
        <v>64.530892448512589</v>
      </c>
    </row>
    <row r="152" spans="1:9" x14ac:dyDescent="0.2">
      <c r="A152" s="2">
        <v>45693</v>
      </c>
      <c r="B152" s="1">
        <v>232.47</v>
      </c>
      <c r="C152">
        <f t="shared" si="14"/>
        <v>-0.33000000000001251</v>
      </c>
      <c r="D152">
        <f t="shared" si="15"/>
        <v>0</v>
      </c>
      <c r="E152">
        <f t="shared" si="16"/>
        <v>0.33000000000001251</v>
      </c>
      <c r="F152">
        <f t="shared" si="17"/>
        <v>1.5264285714285737</v>
      </c>
      <c r="G152">
        <f t="shared" si="18"/>
        <v>0.90928571428571758</v>
      </c>
      <c r="H152">
        <f t="shared" si="19"/>
        <v>1.6787117046347175</v>
      </c>
      <c r="I152">
        <f t="shared" si="20"/>
        <v>62.668621700879719</v>
      </c>
    </row>
    <row r="153" spans="1:9" x14ac:dyDescent="0.2">
      <c r="A153" s="2">
        <v>45694</v>
      </c>
      <c r="B153" s="1">
        <v>233.22</v>
      </c>
      <c r="C153">
        <f t="shared" si="14"/>
        <v>0.75</v>
      </c>
      <c r="D153">
        <f t="shared" si="15"/>
        <v>0.75</v>
      </c>
      <c r="E153">
        <f t="shared" si="16"/>
        <v>0</v>
      </c>
      <c r="F153">
        <f t="shared" si="17"/>
        <v>1.5800000000000023</v>
      </c>
      <c r="G153">
        <f t="shared" si="18"/>
        <v>0.89714285714285935</v>
      </c>
      <c r="H153">
        <f t="shared" si="19"/>
        <v>1.7611464968152848</v>
      </c>
      <c r="I153">
        <f t="shared" si="20"/>
        <v>63.783160322952689</v>
      </c>
    </row>
    <row r="154" spans="1:9" x14ac:dyDescent="0.2">
      <c r="A154" s="2">
        <v>45695</v>
      </c>
      <c r="B154" s="1">
        <v>227.63</v>
      </c>
      <c r="C154">
        <f t="shared" si="14"/>
        <v>-5.5900000000000034</v>
      </c>
      <c r="D154">
        <f t="shared" si="15"/>
        <v>0</v>
      </c>
      <c r="E154">
        <f t="shared" si="16"/>
        <v>5.5900000000000034</v>
      </c>
      <c r="F154">
        <f t="shared" si="17"/>
        <v>1.5800000000000023</v>
      </c>
      <c r="G154">
        <f t="shared" si="18"/>
        <v>1.2335714285714314</v>
      </c>
      <c r="H154">
        <f t="shared" si="19"/>
        <v>1.2808338158656618</v>
      </c>
      <c r="I154">
        <f t="shared" si="20"/>
        <v>56.156384869256129</v>
      </c>
    </row>
    <row r="155" spans="1:9" x14ac:dyDescent="0.2">
      <c r="A155" s="2">
        <v>45698</v>
      </c>
      <c r="B155" s="1">
        <v>227.65</v>
      </c>
      <c r="C155">
        <f t="shared" si="14"/>
        <v>2.0000000000010232E-2</v>
      </c>
      <c r="D155">
        <f t="shared" si="15"/>
        <v>2.0000000000010232E-2</v>
      </c>
      <c r="E155">
        <f t="shared" si="16"/>
        <v>0</v>
      </c>
      <c r="F155">
        <f t="shared" si="17"/>
        <v>1.0757142857142878</v>
      </c>
      <c r="G155">
        <f t="shared" si="18"/>
        <v>1.2335714285714314</v>
      </c>
      <c r="H155">
        <f t="shared" si="19"/>
        <v>0.87203242617255328</v>
      </c>
      <c r="I155">
        <f t="shared" si="20"/>
        <v>46.582121868233827</v>
      </c>
    </row>
    <row r="156" spans="1:9" x14ac:dyDescent="0.2">
      <c r="A156" s="2">
        <v>45699</v>
      </c>
      <c r="B156" s="1">
        <v>232.62</v>
      </c>
      <c r="C156">
        <f t="shared" si="14"/>
        <v>4.9699999999999989</v>
      </c>
      <c r="D156">
        <f t="shared" si="15"/>
        <v>4.9699999999999989</v>
      </c>
      <c r="E156">
        <f t="shared" si="16"/>
        <v>0</v>
      </c>
      <c r="F156">
        <f t="shared" si="17"/>
        <v>0.8307142857142894</v>
      </c>
      <c r="G156">
        <f t="shared" si="18"/>
        <v>1.2335714285714314</v>
      </c>
      <c r="H156">
        <f t="shared" si="19"/>
        <v>0.67342211928199336</v>
      </c>
      <c r="I156">
        <f t="shared" si="20"/>
        <v>40.242214532872026</v>
      </c>
    </row>
    <row r="157" spans="1:9" x14ac:dyDescent="0.2">
      <c r="A157" s="2">
        <v>45700</v>
      </c>
      <c r="B157" s="1">
        <v>236.87</v>
      </c>
      <c r="C157">
        <f t="shared" si="14"/>
        <v>4.25</v>
      </c>
      <c r="D157">
        <f t="shared" si="15"/>
        <v>4.25</v>
      </c>
      <c r="E157">
        <f t="shared" si="16"/>
        <v>0</v>
      </c>
      <c r="F157">
        <f t="shared" si="17"/>
        <v>1.0557142857142878</v>
      </c>
      <c r="G157">
        <f t="shared" si="18"/>
        <v>1.2335714285714314</v>
      </c>
      <c r="H157">
        <f t="shared" si="19"/>
        <v>0.85581933989577275</v>
      </c>
      <c r="I157">
        <f t="shared" si="20"/>
        <v>46.115444617784703</v>
      </c>
    </row>
    <row r="158" spans="1:9" x14ac:dyDescent="0.2">
      <c r="A158" s="2">
        <v>45701</v>
      </c>
      <c r="B158" s="1">
        <v>241.53</v>
      </c>
      <c r="C158">
        <f t="shared" si="14"/>
        <v>4.6599999999999966</v>
      </c>
      <c r="D158">
        <f t="shared" si="15"/>
        <v>4.6599999999999966</v>
      </c>
      <c r="E158">
        <f t="shared" si="16"/>
        <v>0</v>
      </c>
      <c r="F158">
        <f t="shared" si="17"/>
        <v>1.3885714285714303</v>
      </c>
      <c r="G158">
        <f t="shared" si="18"/>
        <v>1.1071428571428592</v>
      </c>
      <c r="H158">
        <f t="shared" si="19"/>
        <v>1.2541935483870961</v>
      </c>
      <c r="I158">
        <f t="shared" si="20"/>
        <v>55.638236977676002</v>
      </c>
    </row>
    <row r="159" spans="1:9" x14ac:dyDescent="0.2">
      <c r="A159" s="2">
        <v>45702</v>
      </c>
      <c r="B159" s="1">
        <v>244.6</v>
      </c>
      <c r="C159">
        <f t="shared" si="14"/>
        <v>3.0699999999999932</v>
      </c>
      <c r="D159">
        <f t="shared" si="15"/>
        <v>3.0699999999999932</v>
      </c>
      <c r="E159">
        <f t="shared" si="16"/>
        <v>0</v>
      </c>
      <c r="F159">
        <f t="shared" si="17"/>
        <v>1.6078571428571442</v>
      </c>
      <c r="G159">
        <f t="shared" si="18"/>
        <v>0.99357142857143033</v>
      </c>
      <c r="H159">
        <f t="shared" si="19"/>
        <v>1.6182602444284673</v>
      </c>
      <c r="I159">
        <f t="shared" si="20"/>
        <v>61.806699615595804</v>
      </c>
    </row>
    <row r="160" spans="1:9" x14ac:dyDescent="0.2">
      <c r="A160" s="2">
        <v>45706</v>
      </c>
      <c r="B160" s="1">
        <v>244.47</v>
      </c>
      <c r="C160">
        <f t="shared" si="14"/>
        <v>-0.12999999999999545</v>
      </c>
      <c r="D160">
        <f t="shared" si="15"/>
        <v>0</v>
      </c>
      <c r="E160">
        <f t="shared" si="16"/>
        <v>0.12999999999999545</v>
      </c>
      <c r="F160">
        <f t="shared" si="17"/>
        <v>1.6078571428571442</v>
      </c>
      <c r="G160">
        <f t="shared" si="18"/>
        <v>0.43214285714285794</v>
      </c>
      <c r="H160">
        <f t="shared" si="19"/>
        <v>3.7206611570247898</v>
      </c>
      <c r="I160">
        <f t="shared" si="20"/>
        <v>78.816526610644246</v>
      </c>
    </row>
    <row r="161" spans="1:9" x14ac:dyDescent="0.2">
      <c r="A161" s="2">
        <v>45707</v>
      </c>
      <c r="B161" s="1">
        <v>244.87</v>
      </c>
      <c r="C161">
        <f t="shared" si="14"/>
        <v>0.40000000000000568</v>
      </c>
      <c r="D161">
        <f t="shared" si="15"/>
        <v>0.40000000000000568</v>
      </c>
      <c r="E161">
        <f t="shared" si="16"/>
        <v>0</v>
      </c>
      <c r="F161">
        <f t="shared" si="17"/>
        <v>1.2942857142857147</v>
      </c>
      <c r="G161">
        <f t="shared" si="18"/>
        <v>0.43214285714285794</v>
      </c>
      <c r="H161">
        <f t="shared" si="19"/>
        <v>2.9950413223140449</v>
      </c>
      <c r="I161">
        <f t="shared" si="20"/>
        <v>74.96896979726931</v>
      </c>
    </row>
    <row r="162" spans="1:9" x14ac:dyDescent="0.2">
      <c r="A162" s="2">
        <v>45708</v>
      </c>
      <c r="B162" s="1">
        <v>245.83</v>
      </c>
      <c r="C162">
        <f t="shared" si="14"/>
        <v>0.96000000000000796</v>
      </c>
      <c r="D162">
        <f t="shared" si="15"/>
        <v>0.96000000000000796</v>
      </c>
      <c r="E162">
        <f t="shared" si="16"/>
        <v>0</v>
      </c>
      <c r="F162">
        <f t="shared" si="17"/>
        <v>1.3628571428571437</v>
      </c>
      <c r="G162">
        <f t="shared" si="18"/>
        <v>0.40857142857142847</v>
      </c>
      <c r="H162">
        <f t="shared" si="19"/>
        <v>3.3356643356643385</v>
      </c>
      <c r="I162">
        <f t="shared" si="20"/>
        <v>76.935483870967758</v>
      </c>
    </row>
    <row r="163" spans="1:9" x14ac:dyDescent="0.2">
      <c r="A163" s="2">
        <v>45709</v>
      </c>
      <c r="B163" s="1">
        <v>245.55</v>
      </c>
      <c r="C163">
        <f t="shared" si="14"/>
        <v>-0.28000000000000114</v>
      </c>
      <c r="D163">
        <f t="shared" si="15"/>
        <v>0</v>
      </c>
      <c r="E163">
        <f t="shared" si="16"/>
        <v>0.28000000000000114</v>
      </c>
      <c r="F163">
        <f t="shared" si="17"/>
        <v>1.3092857142857153</v>
      </c>
      <c r="G163">
        <f t="shared" si="18"/>
        <v>0.42857142857142855</v>
      </c>
      <c r="H163">
        <f t="shared" si="19"/>
        <v>3.0550000000000024</v>
      </c>
      <c r="I163">
        <f t="shared" si="20"/>
        <v>75.339087546239227</v>
      </c>
    </row>
    <row r="164" spans="1:9" x14ac:dyDescent="0.2">
      <c r="A164" s="2">
        <v>45712</v>
      </c>
      <c r="B164" s="1">
        <v>247.1</v>
      </c>
      <c r="C164">
        <f t="shared" si="14"/>
        <v>1.5499999999999829</v>
      </c>
      <c r="D164">
        <f t="shared" si="15"/>
        <v>1.5499999999999829</v>
      </c>
      <c r="E164">
        <f t="shared" si="16"/>
        <v>0</v>
      </c>
      <c r="F164">
        <f t="shared" si="17"/>
        <v>1.4199999999999997</v>
      </c>
      <c r="G164">
        <f t="shared" si="18"/>
        <v>2.9285714285714044E-2</v>
      </c>
      <c r="H164">
        <f t="shared" si="19"/>
        <v>48.487804878049168</v>
      </c>
      <c r="I164">
        <f t="shared" si="20"/>
        <v>97.979300147856108</v>
      </c>
    </row>
    <row r="165" spans="1:9" x14ac:dyDescent="0.2">
      <c r="A165" s="2">
        <v>45713</v>
      </c>
      <c r="B165" s="1">
        <v>247.04</v>
      </c>
      <c r="C165">
        <f t="shared" si="14"/>
        <v>-6.0000000000002274E-2</v>
      </c>
      <c r="D165">
        <f t="shared" si="15"/>
        <v>0</v>
      </c>
      <c r="E165">
        <f t="shared" si="16"/>
        <v>6.0000000000002274E-2</v>
      </c>
      <c r="F165">
        <f t="shared" si="17"/>
        <v>1.4185714285714275</v>
      </c>
      <c r="G165">
        <f t="shared" si="18"/>
        <v>3.3571428571428488E-2</v>
      </c>
      <c r="H165">
        <f t="shared" si="19"/>
        <v>42.255319148936245</v>
      </c>
      <c r="I165">
        <f t="shared" si="20"/>
        <v>97.688145597638965</v>
      </c>
    </row>
    <row r="166" spans="1:9" x14ac:dyDescent="0.2">
      <c r="A166" s="2">
        <v>45714</v>
      </c>
      <c r="B166" s="1">
        <v>240.36</v>
      </c>
      <c r="C166">
        <f t="shared" si="14"/>
        <v>-6.6799999999999784</v>
      </c>
      <c r="D166">
        <f t="shared" si="15"/>
        <v>0</v>
      </c>
      <c r="E166">
        <f t="shared" si="16"/>
        <v>6.6799999999999784</v>
      </c>
      <c r="F166">
        <f t="shared" si="17"/>
        <v>1.0635714285714275</v>
      </c>
      <c r="G166">
        <f t="shared" si="18"/>
        <v>0.51071428571428412</v>
      </c>
      <c r="H166">
        <f t="shared" si="19"/>
        <v>2.082517482517487</v>
      </c>
      <c r="I166">
        <f t="shared" si="20"/>
        <v>67.558983666061749</v>
      </c>
    </row>
    <row r="167" spans="1:9" x14ac:dyDescent="0.2">
      <c r="A167" s="2">
        <v>45715</v>
      </c>
      <c r="B167" s="1">
        <v>237.3</v>
      </c>
      <c r="C167">
        <f t="shared" si="14"/>
        <v>-3.0600000000000023</v>
      </c>
      <c r="D167">
        <f t="shared" si="15"/>
        <v>0</v>
      </c>
      <c r="E167">
        <f t="shared" si="16"/>
        <v>3.0600000000000023</v>
      </c>
      <c r="F167">
        <f t="shared" si="17"/>
        <v>0.75999999999999901</v>
      </c>
      <c r="G167">
        <f t="shared" si="18"/>
        <v>0.72928571428571287</v>
      </c>
      <c r="H167">
        <f t="shared" si="19"/>
        <v>1.0421155729676794</v>
      </c>
      <c r="I167">
        <f t="shared" si="20"/>
        <v>51.031175059952055</v>
      </c>
    </row>
    <row r="168" spans="1:9" x14ac:dyDescent="0.2">
      <c r="A168" s="2">
        <v>45716</v>
      </c>
      <c r="B168" s="1">
        <v>241.84</v>
      </c>
      <c r="C168">
        <f t="shared" si="14"/>
        <v>4.539999999999992</v>
      </c>
      <c r="D168">
        <f t="shared" si="15"/>
        <v>4.539999999999992</v>
      </c>
      <c r="E168">
        <f t="shared" si="16"/>
        <v>0</v>
      </c>
      <c r="F168">
        <f t="shared" si="17"/>
        <v>0.75142857142857011</v>
      </c>
      <c r="G168">
        <f t="shared" si="18"/>
        <v>0.72928571428571287</v>
      </c>
      <c r="H168">
        <f t="shared" si="19"/>
        <v>1.030362389813908</v>
      </c>
      <c r="I168">
        <f t="shared" si="20"/>
        <v>50.747708634828754</v>
      </c>
    </row>
    <row r="169" spans="1:9" x14ac:dyDescent="0.2">
      <c r="A169" s="2">
        <v>45719</v>
      </c>
      <c r="B169" s="1">
        <v>238.03</v>
      </c>
      <c r="C169">
        <f t="shared" si="14"/>
        <v>-3.8100000000000023</v>
      </c>
      <c r="D169">
        <f t="shared" si="15"/>
        <v>0</v>
      </c>
      <c r="E169">
        <f t="shared" si="16"/>
        <v>3.8100000000000023</v>
      </c>
      <c r="F169">
        <f t="shared" si="17"/>
        <v>0.53214285714285636</v>
      </c>
      <c r="G169">
        <f t="shared" si="18"/>
        <v>1.0014285714285702</v>
      </c>
      <c r="H169">
        <f t="shared" si="19"/>
        <v>0.53138373751783152</v>
      </c>
      <c r="I169">
        <f t="shared" si="20"/>
        <v>34.699580810433162</v>
      </c>
    </row>
    <row r="170" spans="1:9" x14ac:dyDescent="0.2">
      <c r="A170" s="2">
        <v>45720</v>
      </c>
      <c r="B170" s="1">
        <v>235.93</v>
      </c>
      <c r="C170">
        <f t="shared" si="14"/>
        <v>-2.0999999999999943</v>
      </c>
      <c r="D170">
        <f t="shared" si="15"/>
        <v>0</v>
      </c>
      <c r="E170">
        <f t="shared" si="16"/>
        <v>2.0999999999999943</v>
      </c>
      <c r="F170">
        <f t="shared" si="17"/>
        <v>0.53214285714285636</v>
      </c>
      <c r="G170">
        <f t="shared" si="18"/>
        <v>1.1421428571428558</v>
      </c>
      <c r="H170">
        <f t="shared" si="19"/>
        <v>0.46591619762351455</v>
      </c>
      <c r="I170">
        <f t="shared" si="20"/>
        <v>31.783276450511934</v>
      </c>
    </row>
    <row r="171" spans="1:9" x14ac:dyDescent="0.2">
      <c r="A171" s="2">
        <v>45721</v>
      </c>
      <c r="B171" s="1">
        <v>235.74</v>
      </c>
      <c r="C171">
        <f t="shared" si="14"/>
        <v>-0.18999999999999773</v>
      </c>
      <c r="D171">
        <f t="shared" si="15"/>
        <v>0</v>
      </c>
      <c r="E171">
        <f t="shared" si="16"/>
        <v>0.18999999999999773</v>
      </c>
      <c r="F171">
        <f t="shared" si="17"/>
        <v>0.50357142857142734</v>
      </c>
      <c r="G171">
        <f t="shared" si="18"/>
        <v>1.1557142857142841</v>
      </c>
      <c r="H171">
        <f t="shared" si="19"/>
        <v>0.43572311495673621</v>
      </c>
      <c r="I171">
        <f t="shared" si="20"/>
        <v>30.348687042617286</v>
      </c>
    </row>
    <row r="172" spans="1:9" x14ac:dyDescent="0.2">
      <c r="A172" s="2">
        <v>45722</v>
      </c>
      <c r="B172" s="1">
        <v>235.33</v>
      </c>
      <c r="C172">
        <f t="shared" si="14"/>
        <v>-0.40999999999999659</v>
      </c>
      <c r="D172">
        <f t="shared" si="15"/>
        <v>0</v>
      </c>
      <c r="E172">
        <f t="shared" si="16"/>
        <v>0.40999999999999659</v>
      </c>
      <c r="F172">
        <f t="shared" si="17"/>
        <v>0.43499999999999822</v>
      </c>
      <c r="G172">
        <f t="shared" si="18"/>
        <v>1.1849999999999983</v>
      </c>
      <c r="H172">
        <f t="shared" si="19"/>
        <v>0.36708860759493572</v>
      </c>
      <c r="I172">
        <f t="shared" si="20"/>
        <v>26.851851851851805</v>
      </c>
    </row>
    <row r="173" spans="1:9" x14ac:dyDescent="0.2">
      <c r="A173" s="2">
        <v>45723</v>
      </c>
      <c r="B173" s="1">
        <v>239.07</v>
      </c>
      <c r="C173">
        <f t="shared" si="14"/>
        <v>3.7399999999999807</v>
      </c>
      <c r="D173">
        <f t="shared" si="15"/>
        <v>3.7399999999999807</v>
      </c>
      <c r="E173">
        <f t="shared" si="16"/>
        <v>0</v>
      </c>
      <c r="F173">
        <f t="shared" si="17"/>
        <v>0.70214285714285396</v>
      </c>
      <c r="G173">
        <f t="shared" si="18"/>
        <v>1.164999999999998</v>
      </c>
      <c r="H173">
        <f t="shared" si="19"/>
        <v>0.60269773145309458</v>
      </c>
      <c r="I173">
        <f t="shared" si="20"/>
        <v>37.605202754399322</v>
      </c>
    </row>
    <row r="174" spans="1:9" x14ac:dyDescent="0.2">
      <c r="A174" s="2">
        <v>45726</v>
      </c>
      <c r="B174" s="1">
        <v>227.48</v>
      </c>
      <c r="C174">
        <f t="shared" si="14"/>
        <v>-11.590000000000003</v>
      </c>
      <c r="D174">
        <f t="shared" si="15"/>
        <v>0</v>
      </c>
      <c r="E174">
        <f t="shared" si="16"/>
        <v>11.590000000000003</v>
      </c>
      <c r="F174">
        <f t="shared" si="17"/>
        <v>0.59142857142856953</v>
      </c>
      <c r="G174">
        <f t="shared" si="18"/>
        <v>1.9928571428571413</v>
      </c>
      <c r="H174">
        <f t="shared" si="19"/>
        <v>0.29677419354838636</v>
      </c>
      <c r="I174">
        <f t="shared" si="20"/>
        <v>22.885572139303434</v>
      </c>
    </row>
    <row r="175" spans="1:9" x14ac:dyDescent="0.2">
      <c r="A175" s="2">
        <v>45727</v>
      </c>
      <c r="B175" s="1">
        <v>220.84</v>
      </c>
      <c r="C175">
        <f t="shared" si="14"/>
        <v>-6.6399999999999864</v>
      </c>
      <c r="D175">
        <f t="shared" si="15"/>
        <v>0</v>
      </c>
      <c r="E175">
        <f t="shared" si="16"/>
        <v>6.6399999999999864</v>
      </c>
      <c r="F175">
        <f t="shared" si="17"/>
        <v>0.59142857142856953</v>
      </c>
      <c r="G175">
        <f t="shared" si="18"/>
        <v>2.46285714285714</v>
      </c>
      <c r="H175">
        <f t="shared" si="19"/>
        <v>0.24013921113689046</v>
      </c>
      <c r="I175">
        <f t="shared" si="20"/>
        <v>19.363891487371347</v>
      </c>
    </row>
    <row r="176" spans="1:9" x14ac:dyDescent="0.2">
      <c r="A176" s="2">
        <v>45728</v>
      </c>
      <c r="B176" s="1">
        <v>216.98</v>
      </c>
      <c r="C176">
        <f t="shared" si="14"/>
        <v>-3.8600000000000136</v>
      </c>
      <c r="D176">
        <f t="shared" si="15"/>
        <v>0</v>
      </c>
      <c r="E176">
        <f t="shared" si="16"/>
        <v>3.8600000000000136</v>
      </c>
      <c r="F176">
        <f t="shared" si="17"/>
        <v>0.59142857142856953</v>
      </c>
      <c r="G176">
        <f t="shared" si="18"/>
        <v>2.2614285714285711</v>
      </c>
      <c r="H176">
        <f t="shared" si="19"/>
        <v>0.26152874289323985</v>
      </c>
      <c r="I176">
        <f t="shared" si="20"/>
        <v>20.731096644967394</v>
      </c>
    </row>
    <row r="177" spans="1:9" x14ac:dyDescent="0.2">
      <c r="A177" s="2">
        <v>45729</v>
      </c>
      <c r="B177" s="1">
        <v>209.68</v>
      </c>
      <c r="C177">
        <f t="shared" si="14"/>
        <v>-7.2999999999999829</v>
      </c>
      <c r="D177">
        <f t="shared" si="15"/>
        <v>0</v>
      </c>
      <c r="E177">
        <f t="shared" si="16"/>
        <v>7.2999999999999829</v>
      </c>
      <c r="F177">
        <f t="shared" si="17"/>
        <v>0.59142857142856953</v>
      </c>
      <c r="G177">
        <f t="shared" si="18"/>
        <v>2.5642857142857127</v>
      </c>
      <c r="H177">
        <f t="shared" si="19"/>
        <v>0.23064066852367629</v>
      </c>
      <c r="I177">
        <f t="shared" si="20"/>
        <v>18.741511996378421</v>
      </c>
    </row>
    <row r="178" spans="1:9" x14ac:dyDescent="0.2">
      <c r="A178" s="2">
        <v>45730</v>
      </c>
      <c r="B178" s="1">
        <v>213.49</v>
      </c>
      <c r="C178">
        <f t="shared" si="14"/>
        <v>3.8100000000000023</v>
      </c>
      <c r="D178">
        <f t="shared" si="15"/>
        <v>3.8100000000000023</v>
      </c>
      <c r="E178">
        <f t="shared" si="16"/>
        <v>0</v>
      </c>
      <c r="F178">
        <f t="shared" si="17"/>
        <v>0.53928571428571304</v>
      </c>
      <c r="G178">
        <f t="shared" si="18"/>
        <v>2.5642857142857127</v>
      </c>
      <c r="H178">
        <f t="shared" si="19"/>
        <v>0.2103064066852364</v>
      </c>
      <c r="I178">
        <f t="shared" si="20"/>
        <v>17.376294591484452</v>
      </c>
    </row>
    <row r="179" spans="1:9" x14ac:dyDescent="0.2">
      <c r="A179" s="2">
        <v>45733</v>
      </c>
      <c r="B179" s="1">
        <v>214</v>
      </c>
      <c r="C179">
        <f t="shared" si="14"/>
        <v>0.50999999999999091</v>
      </c>
      <c r="D179">
        <f t="shared" si="15"/>
        <v>0.50999999999999091</v>
      </c>
      <c r="E179">
        <f t="shared" si="16"/>
        <v>0</v>
      </c>
      <c r="F179">
        <f t="shared" si="17"/>
        <v>0.57571428571428385</v>
      </c>
      <c r="G179">
        <f t="shared" si="18"/>
        <v>2.2921428571428555</v>
      </c>
      <c r="H179">
        <f t="shared" si="19"/>
        <v>0.25116858834527828</v>
      </c>
      <c r="I179">
        <f t="shared" si="20"/>
        <v>20.074719800747161</v>
      </c>
    </row>
    <row r="180" spans="1:9" x14ac:dyDescent="0.2">
      <c r="A180" s="2">
        <v>45734</v>
      </c>
      <c r="B180" s="1">
        <v>212.69</v>
      </c>
      <c r="C180">
        <f t="shared" si="14"/>
        <v>-1.3100000000000023</v>
      </c>
      <c r="D180">
        <f t="shared" si="15"/>
        <v>0</v>
      </c>
      <c r="E180">
        <f t="shared" si="16"/>
        <v>1.3100000000000023</v>
      </c>
      <c r="F180">
        <f t="shared" si="17"/>
        <v>0.57571428571428385</v>
      </c>
      <c r="G180">
        <f t="shared" si="18"/>
        <v>2.2357142857142844</v>
      </c>
      <c r="H180">
        <f t="shared" si="19"/>
        <v>0.2575079872204466</v>
      </c>
      <c r="I180">
        <f t="shared" si="20"/>
        <v>20.477642276422728</v>
      </c>
    </row>
    <row r="181" spans="1:9" x14ac:dyDescent="0.2">
      <c r="A181" s="2">
        <v>45735</v>
      </c>
      <c r="B181" s="1">
        <v>215.24</v>
      </c>
      <c r="C181">
        <f t="shared" si="14"/>
        <v>2.5500000000000114</v>
      </c>
      <c r="D181">
        <f t="shared" si="15"/>
        <v>2.5500000000000114</v>
      </c>
      <c r="E181">
        <f t="shared" si="16"/>
        <v>0</v>
      </c>
      <c r="F181">
        <f t="shared" si="17"/>
        <v>0.75785714285714179</v>
      </c>
      <c r="G181">
        <f t="shared" si="18"/>
        <v>2.2221428571428561</v>
      </c>
      <c r="H181">
        <f t="shared" si="19"/>
        <v>0.34104789456766282</v>
      </c>
      <c r="I181">
        <f t="shared" si="20"/>
        <v>25.431447746883961</v>
      </c>
    </row>
    <row r="182" spans="1:9" x14ac:dyDescent="0.2">
      <c r="A182" s="2">
        <v>45736</v>
      </c>
      <c r="B182" s="1">
        <v>214.1</v>
      </c>
      <c r="C182">
        <f t="shared" si="14"/>
        <v>-1.1400000000000148</v>
      </c>
      <c r="D182">
        <f t="shared" si="15"/>
        <v>0</v>
      </c>
      <c r="E182">
        <f t="shared" si="16"/>
        <v>1.1400000000000148</v>
      </c>
      <c r="F182">
        <f t="shared" si="17"/>
        <v>0.75785714285714179</v>
      </c>
      <c r="G182">
        <f t="shared" si="18"/>
        <v>2.2742857142857145</v>
      </c>
      <c r="H182">
        <f t="shared" si="19"/>
        <v>0.33322864321607992</v>
      </c>
      <c r="I182">
        <f t="shared" si="20"/>
        <v>24.994110718492323</v>
      </c>
    </row>
    <row r="183" spans="1:9" x14ac:dyDescent="0.2">
      <c r="A183" s="2">
        <v>45737</v>
      </c>
      <c r="B183" s="1">
        <v>218.27</v>
      </c>
      <c r="C183">
        <f t="shared" si="14"/>
        <v>4.1700000000000159</v>
      </c>
      <c r="D183">
        <f t="shared" si="15"/>
        <v>4.1700000000000159</v>
      </c>
      <c r="E183">
        <f t="shared" si="16"/>
        <v>0</v>
      </c>
      <c r="F183">
        <f t="shared" si="17"/>
        <v>0.78857142857143003</v>
      </c>
      <c r="G183">
        <f t="shared" si="18"/>
        <v>2.2742857142857145</v>
      </c>
      <c r="H183">
        <f t="shared" si="19"/>
        <v>0.34673366834170916</v>
      </c>
      <c r="I183">
        <f t="shared" si="20"/>
        <v>25.746268656716452</v>
      </c>
    </row>
    <row r="184" spans="1:9" x14ac:dyDescent="0.2">
      <c r="A184" s="2">
        <v>45740</v>
      </c>
      <c r="B184" s="1">
        <v>220.73</v>
      </c>
      <c r="C184">
        <f t="shared" si="14"/>
        <v>2.4599999999999795</v>
      </c>
      <c r="D184">
        <f t="shared" si="15"/>
        <v>2.4599999999999795</v>
      </c>
      <c r="E184">
        <f t="shared" si="16"/>
        <v>0</v>
      </c>
      <c r="F184">
        <f t="shared" si="17"/>
        <v>0.9642857142857143</v>
      </c>
      <c r="G184">
        <f t="shared" si="18"/>
        <v>1.4464285714285714</v>
      </c>
      <c r="H184">
        <f t="shared" si="19"/>
        <v>0.66666666666666674</v>
      </c>
      <c r="I184">
        <f t="shared" si="20"/>
        <v>40</v>
      </c>
    </row>
    <row r="185" spans="1:9" x14ac:dyDescent="0.2">
      <c r="A185" s="2">
        <v>45741</v>
      </c>
      <c r="B185" s="1">
        <v>223.75</v>
      </c>
      <c r="C185">
        <f t="shared" si="14"/>
        <v>3.0200000000000102</v>
      </c>
      <c r="D185">
        <f t="shared" si="15"/>
        <v>3.0200000000000102</v>
      </c>
      <c r="E185">
        <f t="shared" si="16"/>
        <v>0</v>
      </c>
      <c r="F185">
        <f t="shared" si="17"/>
        <v>1.1800000000000008</v>
      </c>
      <c r="G185">
        <f t="shared" si="18"/>
        <v>0.97214285714285809</v>
      </c>
      <c r="H185">
        <f t="shared" si="19"/>
        <v>1.2138133725202054</v>
      </c>
      <c r="I185">
        <f t="shared" si="20"/>
        <v>54.829074012612004</v>
      </c>
    </row>
    <row r="186" spans="1:9" x14ac:dyDescent="0.2">
      <c r="A186" s="2">
        <v>45742</v>
      </c>
      <c r="B186" s="1">
        <v>221.53</v>
      </c>
      <c r="C186">
        <f t="shared" si="14"/>
        <v>-2.2199999999999989</v>
      </c>
      <c r="D186">
        <f t="shared" si="15"/>
        <v>0</v>
      </c>
      <c r="E186">
        <f t="shared" si="16"/>
        <v>2.2199999999999989</v>
      </c>
      <c r="F186">
        <f t="shared" si="17"/>
        <v>1.1800000000000008</v>
      </c>
      <c r="G186">
        <f t="shared" si="18"/>
        <v>0.85499999999999987</v>
      </c>
      <c r="H186">
        <f t="shared" si="19"/>
        <v>1.3801169590643287</v>
      </c>
      <c r="I186">
        <f t="shared" si="20"/>
        <v>57.985257985258002</v>
      </c>
    </row>
    <row r="187" spans="1:9" x14ac:dyDescent="0.2">
      <c r="A187" s="2">
        <v>45743</v>
      </c>
      <c r="B187" s="1">
        <v>223.85</v>
      </c>
      <c r="C187">
        <f t="shared" si="14"/>
        <v>2.3199999999999932</v>
      </c>
      <c r="D187">
        <f t="shared" si="15"/>
        <v>2.3199999999999932</v>
      </c>
      <c r="E187">
        <f t="shared" si="16"/>
        <v>0</v>
      </c>
      <c r="F187">
        <f t="shared" si="17"/>
        <v>1.3457142857142859</v>
      </c>
      <c r="G187">
        <f t="shared" si="18"/>
        <v>0.33357142857142968</v>
      </c>
      <c r="H187">
        <f t="shared" si="19"/>
        <v>4.0342612419700083</v>
      </c>
      <c r="I187">
        <f t="shared" si="20"/>
        <v>80.136112292641371</v>
      </c>
    </row>
    <row r="188" spans="1:9" x14ac:dyDescent="0.2">
      <c r="A188" s="2">
        <v>45744</v>
      </c>
      <c r="B188" s="1">
        <v>217.9</v>
      </c>
      <c r="C188">
        <f t="shared" si="14"/>
        <v>-5.9499999999999886</v>
      </c>
      <c r="D188">
        <f t="shared" si="15"/>
        <v>0</v>
      </c>
      <c r="E188">
        <f t="shared" si="16"/>
        <v>5.9499999999999886</v>
      </c>
      <c r="F188">
        <f t="shared" si="17"/>
        <v>1.0735714285714286</v>
      </c>
      <c r="G188">
        <f t="shared" si="18"/>
        <v>0.7585714285714289</v>
      </c>
      <c r="H188">
        <f t="shared" si="19"/>
        <v>1.4152542372881352</v>
      </c>
      <c r="I188">
        <f t="shared" si="20"/>
        <v>58.596491228070164</v>
      </c>
    </row>
    <row r="189" spans="1:9" x14ac:dyDescent="0.2">
      <c r="A189" s="2">
        <v>45747</v>
      </c>
      <c r="B189" s="1">
        <v>222.13</v>
      </c>
      <c r="C189">
        <f t="shared" si="14"/>
        <v>4.2299999999999898</v>
      </c>
      <c r="D189">
        <f t="shared" si="15"/>
        <v>4.2299999999999898</v>
      </c>
      <c r="E189">
        <f t="shared" si="16"/>
        <v>0</v>
      </c>
      <c r="F189">
        <f t="shared" si="17"/>
        <v>1.3392857142857142</v>
      </c>
      <c r="G189">
        <f t="shared" si="18"/>
        <v>0.7585714285714289</v>
      </c>
      <c r="H189">
        <f t="shared" si="19"/>
        <v>1.765536723163841</v>
      </c>
      <c r="I189">
        <f t="shared" si="20"/>
        <v>63.840653728294164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5AA27-A01A-1341-9E65-986606FB1BDB}">
  <dimension ref="A1:F189"/>
  <sheetViews>
    <sheetView workbookViewId="0">
      <selection activeCell="A45" sqref="A45"/>
    </sheetView>
  </sheetViews>
  <sheetFormatPr baseColWidth="10" defaultRowHeight="16" x14ac:dyDescent="0.2"/>
  <sheetData>
    <row r="1" spans="1:6" x14ac:dyDescent="0.2">
      <c r="A1" s="1" t="s">
        <v>0</v>
      </c>
      <c r="B1" s="1" t="s">
        <v>1</v>
      </c>
      <c r="C1" t="s">
        <v>32</v>
      </c>
      <c r="D1" t="s">
        <v>33</v>
      </c>
      <c r="E1" t="s">
        <v>34</v>
      </c>
      <c r="F1" t="s">
        <v>35</v>
      </c>
    </row>
    <row r="2" spans="1:6" x14ac:dyDescent="0.2">
      <c r="A2" s="2">
        <v>45474</v>
      </c>
      <c r="B2" s="1">
        <v>216.75</v>
      </c>
    </row>
    <row r="3" spans="1:6" x14ac:dyDescent="0.2">
      <c r="A3" s="2">
        <v>45475</v>
      </c>
      <c r="B3" s="1">
        <v>220.27</v>
      </c>
    </row>
    <row r="4" spans="1:6" x14ac:dyDescent="0.2">
      <c r="A4" s="2">
        <v>45476</v>
      </c>
      <c r="B4" s="1">
        <v>221.55</v>
      </c>
    </row>
    <row r="5" spans="1:6" x14ac:dyDescent="0.2">
      <c r="A5" s="2">
        <v>45478</v>
      </c>
      <c r="B5" s="1">
        <v>226.34</v>
      </c>
    </row>
    <row r="6" spans="1:6" x14ac:dyDescent="0.2">
      <c r="A6" s="2">
        <v>45481</v>
      </c>
      <c r="B6" s="1">
        <v>227.82</v>
      </c>
    </row>
    <row r="7" spans="1:6" x14ac:dyDescent="0.2">
      <c r="A7" s="2">
        <v>45482</v>
      </c>
      <c r="B7" s="1">
        <v>228.68</v>
      </c>
    </row>
    <row r="8" spans="1:6" x14ac:dyDescent="0.2">
      <c r="A8" s="2">
        <v>45483</v>
      </c>
      <c r="B8" s="1">
        <v>232.98</v>
      </c>
    </row>
    <row r="9" spans="1:6" x14ac:dyDescent="0.2">
      <c r="A9" s="2">
        <v>45484</v>
      </c>
      <c r="B9" s="1">
        <v>227.57</v>
      </c>
    </row>
    <row r="10" spans="1:6" x14ac:dyDescent="0.2">
      <c r="A10" s="2">
        <v>45485</v>
      </c>
      <c r="B10" s="1">
        <v>230.54</v>
      </c>
    </row>
    <row r="11" spans="1:6" x14ac:dyDescent="0.2">
      <c r="A11" s="2">
        <v>45488</v>
      </c>
      <c r="B11" s="1">
        <v>234.4</v>
      </c>
    </row>
    <row r="12" spans="1:6" x14ac:dyDescent="0.2">
      <c r="A12" s="2">
        <v>45489</v>
      </c>
      <c r="B12" s="1">
        <v>234.82</v>
      </c>
    </row>
    <row r="13" spans="1:6" x14ac:dyDescent="0.2">
      <c r="A13" s="2">
        <v>45490</v>
      </c>
      <c r="B13" s="1">
        <v>228.88</v>
      </c>
    </row>
    <row r="14" spans="1:6" x14ac:dyDescent="0.2">
      <c r="A14" s="2">
        <v>45491</v>
      </c>
      <c r="B14" s="1">
        <v>224.18</v>
      </c>
    </row>
    <row r="15" spans="1:6" x14ac:dyDescent="0.2">
      <c r="A15" s="2">
        <v>45492</v>
      </c>
      <c r="B15" s="1">
        <v>224.31</v>
      </c>
    </row>
    <row r="16" spans="1:6" x14ac:dyDescent="0.2">
      <c r="A16" s="2">
        <v>45495</v>
      </c>
      <c r="B16" s="1">
        <v>223.96</v>
      </c>
    </row>
    <row r="17" spans="1:6" x14ac:dyDescent="0.2">
      <c r="A17" s="2">
        <v>45496</v>
      </c>
      <c r="B17" s="1">
        <v>225.01</v>
      </c>
    </row>
    <row r="18" spans="1:6" x14ac:dyDescent="0.2">
      <c r="A18" s="2">
        <v>45497</v>
      </c>
      <c r="B18" s="1">
        <v>218.54</v>
      </c>
    </row>
    <row r="19" spans="1:6" x14ac:dyDescent="0.2">
      <c r="A19" s="2">
        <v>45498</v>
      </c>
      <c r="B19" s="1">
        <v>217.49</v>
      </c>
    </row>
    <row r="20" spans="1:6" x14ac:dyDescent="0.2">
      <c r="A20" s="2">
        <v>45499</v>
      </c>
      <c r="B20" s="1">
        <v>217.96</v>
      </c>
    </row>
    <row r="21" spans="1:6" x14ac:dyDescent="0.2">
      <c r="A21" s="2">
        <v>45502</v>
      </c>
      <c r="B21" s="1">
        <v>218.24</v>
      </c>
      <c r="C21">
        <f>AVERAGE(B2:B21)</f>
        <v>225.0145</v>
      </c>
      <c r="D21">
        <f>_xlfn.STDEV.S(B2:B21)</f>
        <v>5.7219287096131062</v>
      </c>
      <c r="E21">
        <f>C21+D21*2</f>
        <v>236.45835741922622</v>
      </c>
      <c r="F21">
        <f>C21+D21*-2</f>
        <v>213.57064258077378</v>
      </c>
    </row>
    <row r="22" spans="1:6" x14ac:dyDescent="0.2">
      <c r="A22" s="2">
        <v>45503</v>
      </c>
      <c r="B22" s="1">
        <v>218.8</v>
      </c>
      <c r="C22">
        <f t="shared" ref="C22:C85" si="0">AVERAGE(B3:B22)</f>
        <v>225.11700000000002</v>
      </c>
      <c r="D22">
        <f t="shared" ref="D22:D85" si="1">_xlfn.STDEV.S(B3:B22)</f>
        <v>5.5827592687336542</v>
      </c>
      <c r="E22">
        <f t="shared" ref="E22:E85" si="2">C22+D22*2</f>
        <v>236.28251853746733</v>
      </c>
      <c r="F22">
        <f t="shared" ref="F22:F85" si="3">C22+D22*-2</f>
        <v>213.95148146253271</v>
      </c>
    </row>
    <row r="23" spans="1:6" x14ac:dyDescent="0.2">
      <c r="A23" s="2">
        <v>45504</v>
      </c>
      <c r="B23" s="1">
        <v>222.08</v>
      </c>
      <c r="C23">
        <f t="shared" si="0"/>
        <v>225.20749999999998</v>
      </c>
      <c r="D23">
        <f t="shared" si="1"/>
        <v>5.5143018597098905</v>
      </c>
      <c r="E23">
        <f t="shared" si="2"/>
        <v>236.23610371941976</v>
      </c>
      <c r="F23">
        <f t="shared" si="3"/>
        <v>214.1788962805802</v>
      </c>
    </row>
    <row r="24" spans="1:6" x14ac:dyDescent="0.2">
      <c r="A24" s="2">
        <v>45505</v>
      </c>
      <c r="B24" s="1">
        <v>218.36</v>
      </c>
      <c r="C24">
        <f t="shared" si="0"/>
        <v>225.04799999999994</v>
      </c>
      <c r="D24">
        <f t="shared" si="1"/>
        <v>5.6696102158790369</v>
      </c>
      <c r="E24">
        <f t="shared" si="2"/>
        <v>236.38722043175801</v>
      </c>
      <c r="F24">
        <f t="shared" si="3"/>
        <v>213.70877956824188</v>
      </c>
    </row>
    <row r="25" spans="1:6" x14ac:dyDescent="0.2">
      <c r="A25" s="2">
        <v>45506</v>
      </c>
      <c r="B25" s="1">
        <v>219.86</v>
      </c>
      <c r="C25">
        <f t="shared" si="0"/>
        <v>224.72399999999993</v>
      </c>
      <c r="D25">
        <f t="shared" si="1"/>
        <v>5.7760470912207715</v>
      </c>
      <c r="E25">
        <f t="shared" si="2"/>
        <v>236.27609418244148</v>
      </c>
      <c r="F25">
        <f t="shared" si="3"/>
        <v>213.17190581755838</v>
      </c>
    </row>
    <row r="26" spans="1:6" x14ac:dyDescent="0.2">
      <c r="A26" s="2">
        <v>45509</v>
      </c>
      <c r="B26" s="1">
        <v>209.27</v>
      </c>
      <c r="C26">
        <f t="shared" si="0"/>
        <v>223.79650000000001</v>
      </c>
      <c r="D26">
        <f t="shared" si="1"/>
        <v>6.6725180877670818</v>
      </c>
      <c r="E26">
        <f t="shared" si="2"/>
        <v>237.14153617553418</v>
      </c>
      <c r="F26">
        <f t="shared" si="3"/>
        <v>210.45146382446583</v>
      </c>
    </row>
    <row r="27" spans="1:6" x14ac:dyDescent="0.2">
      <c r="A27" s="2">
        <v>45510</v>
      </c>
      <c r="B27" s="1">
        <v>207.23</v>
      </c>
      <c r="C27">
        <f t="shared" si="0"/>
        <v>222.72399999999999</v>
      </c>
      <c r="D27">
        <f t="shared" si="1"/>
        <v>7.5167275914596283</v>
      </c>
      <c r="E27">
        <f t="shared" si="2"/>
        <v>237.75745518291924</v>
      </c>
      <c r="F27">
        <f t="shared" si="3"/>
        <v>207.69054481708073</v>
      </c>
    </row>
    <row r="28" spans="1:6" x14ac:dyDescent="0.2">
      <c r="A28" s="2">
        <v>45511</v>
      </c>
      <c r="B28" s="1">
        <v>209.82</v>
      </c>
      <c r="C28">
        <f t="shared" si="0"/>
        <v>221.56599999999997</v>
      </c>
      <c r="D28">
        <f t="shared" si="1"/>
        <v>7.6365846595947504</v>
      </c>
      <c r="E28">
        <f t="shared" si="2"/>
        <v>236.83916931918947</v>
      </c>
      <c r="F28">
        <f t="shared" si="3"/>
        <v>206.29283068081048</v>
      </c>
    </row>
    <row r="29" spans="1:6" x14ac:dyDescent="0.2">
      <c r="A29" s="2">
        <v>45512</v>
      </c>
      <c r="B29" s="1">
        <v>213.31</v>
      </c>
      <c r="C29">
        <f t="shared" si="0"/>
        <v>220.85300000000001</v>
      </c>
      <c r="D29">
        <f t="shared" si="1"/>
        <v>7.711840588546802</v>
      </c>
      <c r="E29">
        <f t="shared" si="2"/>
        <v>236.27668117709362</v>
      </c>
      <c r="F29">
        <f t="shared" si="3"/>
        <v>205.4293188229064</v>
      </c>
    </row>
    <row r="30" spans="1:6" x14ac:dyDescent="0.2">
      <c r="A30" s="2">
        <v>45513</v>
      </c>
      <c r="B30" s="1">
        <v>216.24</v>
      </c>
      <c r="C30">
        <f t="shared" si="0"/>
        <v>220.13800000000001</v>
      </c>
      <c r="D30">
        <f t="shared" si="1"/>
        <v>7.4239814825086672</v>
      </c>
      <c r="E30">
        <f t="shared" si="2"/>
        <v>234.98596296501734</v>
      </c>
      <c r="F30">
        <f t="shared" si="3"/>
        <v>205.29003703498267</v>
      </c>
    </row>
    <row r="31" spans="1:6" x14ac:dyDescent="0.2">
      <c r="A31" s="2">
        <v>45516</v>
      </c>
      <c r="B31" s="1">
        <v>217.53</v>
      </c>
      <c r="C31">
        <f t="shared" si="0"/>
        <v>219.29450000000003</v>
      </c>
      <c r="D31">
        <f t="shared" si="1"/>
        <v>6.6346843616669036</v>
      </c>
      <c r="E31">
        <f t="shared" si="2"/>
        <v>232.56386872333383</v>
      </c>
      <c r="F31">
        <f t="shared" si="3"/>
        <v>206.02513127666623</v>
      </c>
    </row>
    <row r="32" spans="1:6" x14ac:dyDescent="0.2">
      <c r="A32" s="2">
        <v>45517</v>
      </c>
      <c r="B32" s="1">
        <v>221.27</v>
      </c>
      <c r="C32">
        <f t="shared" si="0"/>
        <v>218.61700000000005</v>
      </c>
      <c r="D32">
        <f t="shared" si="1"/>
        <v>5.5726919697282478</v>
      </c>
      <c r="E32">
        <f t="shared" si="2"/>
        <v>229.76238393945656</v>
      </c>
      <c r="F32">
        <f t="shared" si="3"/>
        <v>207.47161606054354</v>
      </c>
    </row>
    <row r="33" spans="1:6" x14ac:dyDescent="0.2">
      <c r="A33" s="2">
        <v>45518</v>
      </c>
      <c r="B33" s="1">
        <v>221.72</v>
      </c>
      <c r="C33">
        <f t="shared" si="0"/>
        <v>218.25900000000007</v>
      </c>
      <c r="D33">
        <f t="shared" si="1"/>
        <v>5.0875450599323564</v>
      </c>
      <c r="E33">
        <f t="shared" si="2"/>
        <v>228.43409011986478</v>
      </c>
      <c r="F33">
        <f t="shared" si="3"/>
        <v>208.08390988013537</v>
      </c>
    </row>
    <row r="34" spans="1:6" x14ac:dyDescent="0.2">
      <c r="A34" s="2">
        <v>45519</v>
      </c>
      <c r="B34" s="1">
        <v>224.72</v>
      </c>
      <c r="C34">
        <f t="shared" si="0"/>
        <v>218.28600000000006</v>
      </c>
      <c r="D34">
        <f t="shared" si="1"/>
        <v>5.1219387776607865</v>
      </c>
      <c r="E34">
        <f t="shared" si="2"/>
        <v>228.52987755532163</v>
      </c>
      <c r="F34">
        <f t="shared" si="3"/>
        <v>208.04212244467848</v>
      </c>
    </row>
    <row r="35" spans="1:6" x14ac:dyDescent="0.2">
      <c r="A35" s="2">
        <v>45520</v>
      </c>
      <c r="B35" s="1">
        <v>226.05</v>
      </c>
      <c r="C35">
        <f t="shared" si="0"/>
        <v>218.37299999999999</v>
      </c>
      <c r="D35">
        <f t="shared" si="1"/>
        <v>5.2429934197936978</v>
      </c>
      <c r="E35">
        <f t="shared" si="2"/>
        <v>228.85898683958737</v>
      </c>
      <c r="F35">
        <f t="shared" si="3"/>
        <v>207.88701316041261</v>
      </c>
    </row>
    <row r="36" spans="1:6" x14ac:dyDescent="0.2">
      <c r="A36" s="2">
        <v>45523</v>
      </c>
      <c r="B36" s="1">
        <v>225.89</v>
      </c>
      <c r="C36">
        <f t="shared" si="0"/>
        <v>218.46950000000001</v>
      </c>
      <c r="D36">
        <f t="shared" si="1"/>
        <v>5.3675197398700583</v>
      </c>
      <c r="E36">
        <f t="shared" si="2"/>
        <v>229.20453947974013</v>
      </c>
      <c r="F36">
        <f t="shared" si="3"/>
        <v>207.73446052025989</v>
      </c>
    </row>
    <row r="37" spans="1:6" x14ac:dyDescent="0.2">
      <c r="A37" s="2">
        <v>45524</v>
      </c>
      <c r="B37" s="1">
        <v>226.51</v>
      </c>
      <c r="C37">
        <f t="shared" si="0"/>
        <v>218.54450000000003</v>
      </c>
      <c r="D37">
        <f t="shared" si="1"/>
        <v>5.4731598445697278</v>
      </c>
      <c r="E37">
        <f t="shared" si="2"/>
        <v>229.49081968913947</v>
      </c>
      <c r="F37">
        <f t="shared" si="3"/>
        <v>207.59818031086058</v>
      </c>
    </row>
    <row r="38" spans="1:6" x14ac:dyDescent="0.2">
      <c r="A38" s="2">
        <v>45525</v>
      </c>
      <c r="B38" s="1">
        <v>226.4</v>
      </c>
      <c r="C38">
        <f t="shared" si="0"/>
        <v>218.93749999999994</v>
      </c>
      <c r="D38">
        <f t="shared" si="1"/>
        <v>5.7481071255079961</v>
      </c>
      <c r="E38">
        <f t="shared" si="2"/>
        <v>230.43371425101594</v>
      </c>
      <c r="F38">
        <f t="shared" si="3"/>
        <v>207.44128574898394</v>
      </c>
    </row>
    <row r="39" spans="1:6" x14ac:dyDescent="0.2">
      <c r="A39" s="2">
        <v>45526</v>
      </c>
      <c r="B39" s="1">
        <v>224.53</v>
      </c>
      <c r="C39">
        <f t="shared" si="0"/>
        <v>219.28949999999995</v>
      </c>
      <c r="D39">
        <f t="shared" si="1"/>
        <v>5.8690835606681615</v>
      </c>
      <c r="E39">
        <f t="shared" si="2"/>
        <v>231.02766712133626</v>
      </c>
      <c r="F39">
        <f t="shared" si="3"/>
        <v>207.55133287866363</v>
      </c>
    </row>
    <row r="40" spans="1:6" x14ac:dyDescent="0.2">
      <c r="A40" s="2">
        <v>45527</v>
      </c>
      <c r="B40" s="1">
        <v>226.84</v>
      </c>
      <c r="C40">
        <f t="shared" si="0"/>
        <v>219.73349999999999</v>
      </c>
      <c r="D40">
        <f t="shared" si="1"/>
        <v>6.0947624408607037</v>
      </c>
      <c r="E40">
        <f t="shared" si="2"/>
        <v>231.9230248817214</v>
      </c>
      <c r="F40">
        <f t="shared" si="3"/>
        <v>207.54397511827858</v>
      </c>
    </row>
    <row r="41" spans="1:6" x14ac:dyDescent="0.2">
      <c r="A41" s="2">
        <v>45530</v>
      </c>
      <c r="B41" s="1">
        <v>227.18</v>
      </c>
      <c r="C41">
        <f t="shared" si="0"/>
        <v>220.18050000000002</v>
      </c>
      <c r="D41">
        <f t="shared" si="1"/>
        <v>6.3037169277548593</v>
      </c>
      <c r="E41">
        <f t="shared" si="2"/>
        <v>232.78793385550975</v>
      </c>
      <c r="F41">
        <f t="shared" si="3"/>
        <v>207.5730661444903</v>
      </c>
    </row>
    <row r="42" spans="1:6" x14ac:dyDescent="0.2">
      <c r="A42" s="2">
        <v>45531</v>
      </c>
      <c r="B42" s="1">
        <v>228.03</v>
      </c>
      <c r="C42">
        <f t="shared" si="0"/>
        <v>220.642</v>
      </c>
      <c r="D42">
        <f t="shared" si="1"/>
        <v>6.5310969498562086</v>
      </c>
      <c r="E42">
        <f t="shared" si="2"/>
        <v>233.70419389971241</v>
      </c>
      <c r="F42">
        <f t="shared" si="3"/>
        <v>207.57980610028758</v>
      </c>
    </row>
    <row r="43" spans="1:6" x14ac:dyDescent="0.2">
      <c r="A43" s="2">
        <v>45532</v>
      </c>
      <c r="B43" s="1">
        <v>226.49</v>
      </c>
      <c r="C43">
        <f t="shared" si="0"/>
        <v>220.86250000000001</v>
      </c>
      <c r="D43">
        <f t="shared" si="1"/>
        <v>6.6554614494611251</v>
      </c>
      <c r="E43">
        <f t="shared" si="2"/>
        <v>234.17342289892227</v>
      </c>
      <c r="F43">
        <f t="shared" si="3"/>
        <v>207.55157710107775</v>
      </c>
    </row>
    <row r="44" spans="1:6" x14ac:dyDescent="0.2">
      <c r="A44" s="2">
        <v>45533</v>
      </c>
      <c r="B44" s="1">
        <v>229.79</v>
      </c>
      <c r="C44">
        <f t="shared" si="0"/>
        <v>221.43400000000003</v>
      </c>
      <c r="D44">
        <f t="shared" si="1"/>
        <v>6.9149482625457308</v>
      </c>
      <c r="E44">
        <f t="shared" si="2"/>
        <v>235.2638965250915</v>
      </c>
      <c r="F44">
        <f t="shared" si="3"/>
        <v>207.60410347490856</v>
      </c>
    </row>
    <row r="45" spans="1:6" x14ac:dyDescent="0.2">
      <c r="A45" s="2">
        <v>45534</v>
      </c>
      <c r="B45" s="1">
        <v>229</v>
      </c>
      <c r="C45">
        <f t="shared" si="0"/>
        <v>221.89099999999999</v>
      </c>
      <c r="D45">
        <f t="shared" si="1"/>
        <v>7.1048670493876012</v>
      </c>
      <c r="E45">
        <f t="shared" si="2"/>
        <v>236.10073409877521</v>
      </c>
      <c r="F45">
        <f t="shared" si="3"/>
        <v>207.68126590122478</v>
      </c>
    </row>
    <row r="46" spans="1:6" x14ac:dyDescent="0.2">
      <c r="A46" s="2">
        <v>45538</v>
      </c>
      <c r="B46" s="1">
        <v>222.77</v>
      </c>
      <c r="C46">
        <f t="shared" si="0"/>
        <v>222.56600000000003</v>
      </c>
      <c r="D46">
        <f t="shared" si="1"/>
        <v>6.4541870538678845</v>
      </c>
      <c r="E46">
        <f t="shared" si="2"/>
        <v>235.4743741077358</v>
      </c>
      <c r="F46">
        <f t="shared" si="3"/>
        <v>209.65762589226426</v>
      </c>
    </row>
    <row r="47" spans="1:6" x14ac:dyDescent="0.2">
      <c r="A47" s="2">
        <v>45539</v>
      </c>
      <c r="B47" s="1">
        <v>220.85</v>
      </c>
      <c r="C47">
        <f t="shared" si="0"/>
        <v>223.24700000000007</v>
      </c>
      <c r="D47">
        <f t="shared" si="1"/>
        <v>5.3800343375934139</v>
      </c>
      <c r="E47">
        <f t="shared" si="2"/>
        <v>234.0070686751869</v>
      </c>
      <c r="F47">
        <f t="shared" si="3"/>
        <v>212.48693132481324</v>
      </c>
    </row>
    <row r="48" spans="1:6" x14ac:dyDescent="0.2">
      <c r="A48" s="2">
        <v>45540</v>
      </c>
      <c r="B48" s="1">
        <v>222.38</v>
      </c>
      <c r="C48">
        <f t="shared" si="0"/>
        <v>223.875</v>
      </c>
      <c r="D48">
        <f t="shared" si="1"/>
        <v>4.3681279863647706</v>
      </c>
      <c r="E48">
        <f t="shared" si="2"/>
        <v>232.61125597272954</v>
      </c>
      <c r="F48">
        <f t="shared" si="3"/>
        <v>215.13874402727046</v>
      </c>
    </row>
    <row r="49" spans="1:6" x14ac:dyDescent="0.2">
      <c r="A49" s="2">
        <v>45541</v>
      </c>
      <c r="B49" s="1">
        <v>220.82</v>
      </c>
      <c r="C49">
        <f t="shared" si="0"/>
        <v>224.25050000000002</v>
      </c>
      <c r="D49">
        <f t="shared" si="1"/>
        <v>3.6808472637352612</v>
      </c>
      <c r="E49">
        <f t="shared" si="2"/>
        <v>231.61219452747054</v>
      </c>
      <c r="F49">
        <f t="shared" si="3"/>
        <v>216.8888054725295</v>
      </c>
    </row>
    <row r="50" spans="1:6" x14ac:dyDescent="0.2">
      <c r="A50" s="2">
        <v>45544</v>
      </c>
      <c r="B50" s="1">
        <v>220.91</v>
      </c>
      <c r="C50">
        <f t="shared" si="0"/>
        <v>224.48399999999998</v>
      </c>
      <c r="D50">
        <f t="shared" si="1"/>
        <v>3.2712823817354306</v>
      </c>
      <c r="E50">
        <f t="shared" si="2"/>
        <v>231.02656476347084</v>
      </c>
      <c r="F50">
        <f t="shared" si="3"/>
        <v>217.94143523652912</v>
      </c>
    </row>
    <row r="51" spans="1:6" x14ac:dyDescent="0.2">
      <c r="A51" s="2">
        <v>45545</v>
      </c>
      <c r="B51" s="1">
        <v>220.11</v>
      </c>
      <c r="C51">
        <f t="shared" si="0"/>
        <v>224.613</v>
      </c>
      <c r="D51">
        <f t="shared" si="1"/>
        <v>3.0241607796300491</v>
      </c>
      <c r="E51">
        <f t="shared" si="2"/>
        <v>230.6613215592601</v>
      </c>
      <c r="F51">
        <f t="shared" si="3"/>
        <v>218.5646784407399</v>
      </c>
    </row>
    <row r="52" spans="1:6" x14ac:dyDescent="0.2">
      <c r="A52" s="2">
        <v>45546</v>
      </c>
      <c r="B52" s="1">
        <v>222.66</v>
      </c>
      <c r="C52">
        <f t="shared" si="0"/>
        <v>224.68249999999998</v>
      </c>
      <c r="D52">
        <f t="shared" si="1"/>
        <v>2.9585502762065925</v>
      </c>
      <c r="E52">
        <f t="shared" si="2"/>
        <v>230.59960055241316</v>
      </c>
      <c r="F52">
        <f t="shared" si="3"/>
        <v>218.76539944758679</v>
      </c>
    </row>
    <row r="53" spans="1:6" x14ac:dyDescent="0.2">
      <c r="A53" s="2">
        <v>45547</v>
      </c>
      <c r="B53" s="1">
        <v>222.77</v>
      </c>
      <c r="C53">
        <f t="shared" si="0"/>
        <v>224.73500000000004</v>
      </c>
      <c r="D53">
        <f t="shared" si="1"/>
        <v>2.9121659510261062</v>
      </c>
      <c r="E53">
        <f t="shared" si="2"/>
        <v>230.55933190205226</v>
      </c>
      <c r="F53">
        <f t="shared" si="3"/>
        <v>218.91066809794782</v>
      </c>
    </row>
    <row r="54" spans="1:6" x14ac:dyDescent="0.2">
      <c r="A54" s="2">
        <v>45548</v>
      </c>
      <c r="B54" s="1">
        <v>222.5</v>
      </c>
      <c r="C54">
        <f t="shared" si="0"/>
        <v>224.62400000000002</v>
      </c>
      <c r="D54">
        <f t="shared" si="1"/>
        <v>2.9547649296473115</v>
      </c>
      <c r="E54">
        <f t="shared" si="2"/>
        <v>230.53352985929465</v>
      </c>
      <c r="F54">
        <f t="shared" si="3"/>
        <v>218.7144701407054</v>
      </c>
    </row>
    <row r="55" spans="1:6" x14ac:dyDescent="0.2">
      <c r="A55" s="2">
        <v>45551</v>
      </c>
      <c r="B55" s="1">
        <v>216.32</v>
      </c>
      <c r="C55">
        <f t="shared" si="0"/>
        <v>224.13749999999999</v>
      </c>
      <c r="D55">
        <f t="shared" si="1"/>
        <v>3.4646437881761196</v>
      </c>
      <c r="E55">
        <f t="shared" si="2"/>
        <v>231.06678757635223</v>
      </c>
      <c r="F55">
        <f t="shared" si="3"/>
        <v>217.20821242364775</v>
      </c>
    </row>
    <row r="56" spans="1:6" x14ac:dyDescent="0.2">
      <c r="A56" s="2">
        <v>45552</v>
      </c>
      <c r="B56" s="1">
        <v>216.79</v>
      </c>
      <c r="C56">
        <f t="shared" si="0"/>
        <v>223.68249999999998</v>
      </c>
      <c r="D56">
        <f t="shared" si="1"/>
        <v>3.8033598373847814</v>
      </c>
      <c r="E56">
        <f t="shared" si="2"/>
        <v>231.28921967476953</v>
      </c>
      <c r="F56">
        <f t="shared" si="3"/>
        <v>216.07578032523043</v>
      </c>
    </row>
    <row r="57" spans="1:6" x14ac:dyDescent="0.2">
      <c r="A57" s="2">
        <v>45553</v>
      </c>
      <c r="B57" s="1">
        <v>220.69</v>
      </c>
      <c r="C57">
        <f t="shared" si="0"/>
        <v>223.39150000000001</v>
      </c>
      <c r="D57">
        <f t="shared" si="1"/>
        <v>3.798282541249125</v>
      </c>
      <c r="E57">
        <f t="shared" si="2"/>
        <v>230.98806508249825</v>
      </c>
      <c r="F57">
        <f t="shared" si="3"/>
        <v>215.79493491750176</v>
      </c>
    </row>
    <row r="58" spans="1:6" x14ac:dyDescent="0.2">
      <c r="A58" s="2">
        <v>45554</v>
      </c>
      <c r="B58" s="1">
        <v>228.87</v>
      </c>
      <c r="C58">
        <f t="shared" si="0"/>
        <v>223.51499999999996</v>
      </c>
      <c r="D58">
        <f t="shared" si="1"/>
        <v>3.9388075940769061</v>
      </c>
      <c r="E58">
        <f t="shared" si="2"/>
        <v>231.39261518815377</v>
      </c>
      <c r="F58">
        <f t="shared" si="3"/>
        <v>215.63738481184615</v>
      </c>
    </row>
    <row r="59" spans="1:6" x14ac:dyDescent="0.2">
      <c r="A59" s="2">
        <v>45555</v>
      </c>
      <c r="B59" s="1">
        <v>228.2</v>
      </c>
      <c r="C59">
        <f t="shared" si="0"/>
        <v>223.69850000000002</v>
      </c>
      <c r="D59">
        <f t="shared" si="1"/>
        <v>4.0718252405369384</v>
      </c>
      <c r="E59">
        <f t="shared" si="2"/>
        <v>231.8421504810739</v>
      </c>
      <c r="F59">
        <f t="shared" si="3"/>
        <v>215.55484951892615</v>
      </c>
    </row>
    <row r="60" spans="1:6" x14ac:dyDescent="0.2">
      <c r="A60" s="2">
        <v>45558</v>
      </c>
      <c r="B60" s="1">
        <v>226.47</v>
      </c>
      <c r="C60">
        <f t="shared" si="0"/>
        <v>223.68</v>
      </c>
      <c r="D60">
        <f t="shared" si="1"/>
        <v>4.0576166195907364</v>
      </c>
      <c r="E60">
        <f t="shared" si="2"/>
        <v>231.79523323918147</v>
      </c>
      <c r="F60">
        <f t="shared" si="3"/>
        <v>215.56476676081854</v>
      </c>
    </row>
    <row r="61" spans="1:6" x14ac:dyDescent="0.2">
      <c r="A61" s="2">
        <v>45559</v>
      </c>
      <c r="B61" s="1">
        <v>227.37</v>
      </c>
      <c r="C61">
        <f t="shared" si="0"/>
        <v>223.68950000000001</v>
      </c>
      <c r="D61">
        <f t="shared" si="1"/>
        <v>4.0664551677817569</v>
      </c>
      <c r="E61">
        <f t="shared" si="2"/>
        <v>231.82241033556352</v>
      </c>
      <c r="F61">
        <f t="shared" si="3"/>
        <v>215.5565896644365</v>
      </c>
    </row>
    <row r="62" spans="1:6" x14ac:dyDescent="0.2">
      <c r="A62" s="2">
        <v>45560</v>
      </c>
      <c r="B62" s="1">
        <v>226.37</v>
      </c>
      <c r="C62">
        <f t="shared" si="0"/>
        <v>223.60649999999995</v>
      </c>
      <c r="D62">
        <f t="shared" si="1"/>
        <v>3.9894100276132383</v>
      </c>
      <c r="E62">
        <f t="shared" si="2"/>
        <v>231.58532005522642</v>
      </c>
      <c r="F62">
        <f t="shared" si="3"/>
        <v>215.62767994477349</v>
      </c>
    </row>
    <row r="63" spans="1:6" x14ac:dyDescent="0.2">
      <c r="A63" s="2">
        <v>45561</v>
      </c>
      <c r="B63" s="1">
        <v>227.52</v>
      </c>
      <c r="C63">
        <f t="shared" si="0"/>
        <v>223.65800000000004</v>
      </c>
      <c r="D63">
        <f t="shared" si="1"/>
        <v>4.0349807277958858</v>
      </c>
      <c r="E63">
        <f t="shared" si="2"/>
        <v>231.72796145559181</v>
      </c>
      <c r="F63">
        <f t="shared" si="3"/>
        <v>215.58803854440828</v>
      </c>
    </row>
    <row r="64" spans="1:6" x14ac:dyDescent="0.2">
      <c r="A64" s="2">
        <v>45562</v>
      </c>
      <c r="B64" s="1">
        <v>227.79</v>
      </c>
      <c r="C64">
        <f t="shared" si="0"/>
        <v>223.55799999999999</v>
      </c>
      <c r="D64">
        <f t="shared" si="1"/>
        <v>3.8974507187728706</v>
      </c>
      <c r="E64">
        <f t="shared" si="2"/>
        <v>231.35290143754574</v>
      </c>
      <c r="F64">
        <f t="shared" si="3"/>
        <v>215.76309856245425</v>
      </c>
    </row>
    <row r="65" spans="1:6" x14ac:dyDescent="0.2">
      <c r="A65" s="2">
        <v>45565</v>
      </c>
      <c r="B65" s="1">
        <v>233</v>
      </c>
      <c r="C65">
        <f t="shared" si="0"/>
        <v>223.75799999999998</v>
      </c>
      <c r="D65">
        <f t="shared" si="1"/>
        <v>4.2756859714338002</v>
      </c>
      <c r="E65">
        <f t="shared" si="2"/>
        <v>232.30937194286759</v>
      </c>
      <c r="F65">
        <f t="shared" si="3"/>
        <v>215.20662805713238</v>
      </c>
    </row>
    <row r="66" spans="1:6" x14ac:dyDescent="0.2">
      <c r="A66" s="2">
        <v>45566</v>
      </c>
      <c r="B66" s="1">
        <v>226.21</v>
      </c>
      <c r="C66">
        <f t="shared" si="0"/>
        <v>223.92999999999998</v>
      </c>
      <c r="D66">
        <f t="shared" si="1"/>
        <v>4.3029536979051732</v>
      </c>
      <c r="E66">
        <f t="shared" si="2"/>
        <v>232.53590739581031</v>
      </c>
      <c r="F66">
        <f t="shared" si="3"/>
        <v>215.32409260418964</v>
      </c>
    </row>
    <row r="67" spans="1:6" x14ac:dyDescent="0.2">
      <c r="A67" s="2">
        <v>45567</v>
      </c>
      <c r="B67" s="1">
        <v>226.78</v>
      </c>
      <c r="C67">
        <f t="shared" si="0"/>
        <v>224.22649999999993</v>
      </c>
      <c r="D67">
        <f t="shared" si="1"/>
        <v>4.2838168851227953</v>
      </c>
      <c r="E67">
        <f t="shared" si="2"/>
        <v>232.79413377024551</v>
      </c>
      <c r="F67">
        <f t="shared" si="3"/>
        <v>215.65886622975435</v>
      </c>
    </row>
    <row r="68" spans="1:6" x14ac:dyDescent="0.2">
      <c r="A68" s="2">
        <v>45568</v>
      </c>
      <c r="B68" s="1">
        <v>225.67</v>
      </c>
      <c r="C68">
        <f t="shared" si="0"/>
        <v>224.39099999999999</v>
      </c>
      <c r="D68">
        <f t="shared" si="1"/>
        <v>4.2723319159447346</v>
      </c>
      <c r="E68">
        <f t="shared" si="2"/>
        <v>232.93566383188946</v>
      </c>
      <c r="F68">
        <f t="shared" si="3"/>
        <v>215.84633616811053</v>
      </c>
    </row>
    <row r="69" spans="1:6" x14ac:dyDescent="0.2">
      <c r="A69" s="2">
        <v>45569</v>
      </c>
      <c r="B69" s="1">
        <v>226.8</v>
      </c>
      <c r="C69">
        <f t="shared" si="0"/>
        <v>224.68999999999997</v>
      </c>
      <c r="D69">
        <f t="shared" si="1"/>
        <v>4.2181737130758652</v>
      </c>
      <c r="E69">
        <f t="shared" si="2"/>
        <v>233.12634742615171</v>
      </c>
      <c r="F69">
        <f t="shared" si="3"/>
        <v>216.25365257384823</v>
      </c>
    </row>
    <row r="70" spans="1:6" x14ac:dyDescent="0.2">
      <c r="A70" s="2">
        <v>45572</v>
      </c>
      <c r="B70" s="1">
        <v>221.69</v>
      </c>
      <c r="C70">
        <f t="shared" si="0"/>
        <v>224.72899999999998</v>
      </c>
      <c r="D70">
        <f t="shared" si="1"/>
        <v>4.1848598039775933</v>
      </c>
      <c r="E70">
        <f t="shared" si="2"/>
        <v>233.09871960795516</v>
      </c>
      <c r="F70">
        <f t="shared" si="3"/>
        <v>216.35928039204481</v>
      </c>
    </row>
    <row r="71" spans="1:6" x14ac:dyDescent="0.2">
      <c r="A71" s="2">
        <v>45573</v>
      </c>
      <c r="B71" s="1">
        <v>225.77</v>
      </c>
      <c r="C71">
        <f t="shared" si="0"/>
        <v>225.01200000000003</v>
      </c>
      <c r="D71">
        <f t="shared" si="1"/>
        <v>4.0451056846515163</v>
      </c>
      <c r="E71">
        <f t="shared" si="2"/>
        <v>233.10221136930306</v>
      </c>
      <c r="F71">
        <f t="shared" si="3"/>
        <v>216.92178863069699</v>
      </c>
    </row>
    <row r="72" spans="1:6" x14ac:dyDescent="0.2">
      <c r="A72" s="2">
        <v>45574</v>
      </c>
      <c r="B72" s="1">
        <v>229.54</v>
      </c>
      <c r="C72">
        <f t="shared" si="0"/>
        <v>225.35600000000005</v>
      </c>
      <c r="D72">
        <f t="shared" si="1"/>
        <v>4.1262885068915471</v>
      </c>
      <c r="E72">
        <f t="shared" si="2"/>
        <v>233.60857701378313</v>
      </c>
      <c r="F72">
        <f t="shared" si="3"/>
        <v>217.10342298621697</v>
      </c>
    </row>
    <row r="73" spans="1:6" x14ac:dyDescent="0.2">
      <c r="A73" s="2">
        <v>45575</v>
      </c>
      <c r="B73" s="1">
        <v>229.04</v>
      </c>
      <c r="C73">
        <f t="shared" si="0"/>
        <v>225.66950000000003</v>
      </c>
      <c r="D73">
        <f t="shared" si="1"/>
        <v>4.157540359648392</v>
      </c>
      <c r="E73">
        <f t="shared" si="2"/>
        <v>233.98458071929682</v>
      </c>
      <c r="F73">
        <f t="shared" si="3"/>
        <v>217.35441928070324</v>
      </c>
    </row>
    <row r="74" spans="1:6" x14ac:dyDescent="0.2">
      <c r="A74" s="2">
        <v>45576</v>
      </c>
      <c r="B74" s="1">
        <v>227.55</v>
      </c>
      <c r="C74">
        <f t="shared" si="0"/>
        <v>225.92200000000003</v>
      </c>
      <c r="D74">
        <f t="shared" si="1"/>
        <v>4.1079711985870917</v>
      </c>
      <c r="E74">
        <f t="shared" si="2"/>
        <v>234.13794239717421</v>
      </c>
      <c r="F74">
        <f t="shared" si="3"/>
        <v>217.70605760282584</v>
      </c>
    </row>
    <row r="75" spans="1:6" x14ac:dyDescent="0.2">
      <c r="A75" s="2">
        <v>45579</v>
      </c>
      <c r="B75" s="1">
        <v>231.3</v>
      </c>
      <c r="C75">
        <f t="shared" si="0"/>
        <v>226.67099999999999</v>
      </c>
      <c r="D75">
        <f t="shared" si="1"/>
        <v>3.5992512379221626</v>
      </c>
      <c r="E75">
        <f t="shared" si="2"/>
        <v>233.86950247584431</v>
      </c>
      <c r="F75">
        <f t="shared" si="3"/>
        <v>219.47249752415567</v>
      </c>
    </row>
    <row r="76" spans="1:6" x14ac:dyDescent="0.2">
      <c r="A76" s="2">
        <v>45580</v>
      </c>
      <c r="B76" s="1">
        <v>233.85</v>
      </c>
      <c r="C76">
        <f t="shared" si="0"/>
        <v>227.52400000000003</v>
      </c>
      <c r="D76">
        <f t="shared" si="1"/>
        <v>3.124514951830208</v>
      </c>
      <c r="E76">
        <f t="shared" si="2"/>
        <v>233.77302990366044</v>
      </c>
      <c r="F76">
        <f t="shared" si="3"/>
        <v>221.27497009633962</v>
      </c>
    </row>
    <row r="77" spans="1:6" x14ac:dyDescent="0.2">
      <c r="A77" s="2">
        <v>45581</v>
      </c>
      <c r="B77" s="1">
        <v>231.78</v>
      </c>
      <c r="C77">
        <f t="shared" si="0"/>
        <v>228.07850000000002</v>
      </c>
      <c r="D77">
        <f t="shared" si="1"/>
        <v>2.8167717150555238</v>
      </c>
      <c r="E77">
        <f t="shared" si="2"/>
        <v>233.71204343011107</v>
      </c>
      <c r="F77">
        <f t="shared" si="3"/>
        <v>222.44495656988897</v>
      </c>
    </row>
    <row r="78" spans="1:6" x14ac:dyDescent="0.2">
      <c r="A78" s="2">
        <v>45582</v>
      </c>
      <c r="B78" s="1">
        <v>232.15</v>
      </c>
      <c r="C78">
        <f t="shared" si="0"/>
        <v>228.24250000000001</v>
      </c>
      <c r="D78">
        <f t="shared" si="1"/>
        <v>2.957262024949856</v>
      </c>
      <c r="E78">
        <f t="shared" si="2"/>
        <v>234.15702404989972</v>
      </c>
      <c r="F78">
        <f t="shared" si="3"/>
        <v>222.3279759501003</v>
      </c>
    </row>
    <row r="79" spans="1:6" x14ac:dyDescent="0.2">
      <c r="A79" s="2">
        <v>45583</v>
      </c>
      <c r="B79" s="1">
        <v>235</v>
      </c>
      <c r="C79">
        <f t="shared" si="0"/>
        <v>228.58249999999998</v>
      </c>
      <c r="D79">
        <f t="shared" si="1"/>
        <v>3.3206893307834364</v>
      </c>
      <c r="E79">
        <f t="shared" si="2"/>
        <v>235.22387866156686</v>
      </c>
      <c r="F79">
        <f t="shared" si="3"/>
        <v>221.94112133843311</v>
      </c>
    </row>
    <row r="80" spans="1:6" x14ac:dyDescent="0.2">
      <c r="A80" s="2">
        <v>45586</v>
      </c>
      <c r="B80" s="1">
        <v>236.48</v>
      </c>
      <c r="C80">
        <f t="shared" si="0"/>
        <v>229.083</v>
      </c>
      <c r="D80">
        <f t="shared" si="1"/>
        <v>3.7163254347328212</v>
      </c>
      <c r="E80">
        <f t="shared" si="2"/>
        <v>236.51565086946565</v>
      </c>
      <c r="F80">
        <f t="shared" si="3"/>
        <v>221.65034913053435</v>
      </c>
    </row>
    <row r="81" spans="1:6" x14ac:dyDescent="0.2">
      <c r="A81" s="2">
        <v>45587</v>
      </c>
      <c r="B81" s="1">
        <v>235.86</v>
      </c>
      <c r="C81">
        <f t="shared" si="0"/>
        <v>229.50749999999999</v>
      </c>
      <c r="D81">
        <f t="shared" si="1"/>
        <v>3.9854985490162362</v>
      </c>
      <c r="E81">
        <f t="shared" si="2"/>
        <v>237.47849709803248</v>
      </c>
      <c r="F81">
        <f t="shared" si="3"/>
        <v>221.53650290196751</v>
      </c>
    </row>
    <row r="82" spans="1:6" x14ac:dyDescent="0.2">
      <c r="A82" s="2">
        <v>45588</v>
      </c>
      <c r="B82" s="1">
        <v>230.76</v>
      </c>
      <c r="C82">
        <f t="shared" si="0"/>
        <v>229.727</v>
      </c>
      <c r="D82">
        <f t="shared" si="1"/>
        <v>3.9240219700012675</v>
      </c>
      <c r="E82">
        <f t="shared" si="2"/>
        <v>237.57504394000253</v>
      </c>
      <c r="F82">
        <f t="shared" si="3"/>
        <v>221.87895605999748</v>
      </c>
    </row>
    <row r="83" spans="1:6" x14ac:dyDescent="0.2">
      <c r="A83" s="2">
        <v>45589</v>
      </c>
      <c r="B83" s="1">
        <v>230.57</v>
      </c>
      <c r="C83">
        <f t="shared" si="0"/>
        <v>229.87950000000001</v>
      </c>
      <c r="D83">
        <f t="shared" si="1"/>
        <v>3.8928794308529371</v>
      </c>
      <c r="E83">
        <f t="shared" si="2"/>
        <v>237.66525886170589</v>
      </c>
      <c r="F83">
        <f t="shared" si="3"/>
        <v>222.09374113829412</v>
      </c>
    </row>
    <row r="84" spans="1:6" x14ac:dyDescent="0.2">
      <c r="A84" s="2">
        <v>45590</v>
      </c>
      <c r="B84" s="1">
        <v>231.41</v>
      </c>
      <c r="C84">
        <f t="shared" si="0"/>
        <v>230.06049999999999</v>
      </c>
      <c r="D84">
        <f t="shared" si="1"/>
        <v>3.8747284794516479</v>
      </c>
      <c r="E84">
        <f t="shared" si="2"/>
        <v>237.80995695890329</v>
      </c>
      <c r="F84">
        <f t="shared" si="3"/>
        <v>222.3110430410967</v>
      </c>
    </row>
    <row r="85" spans="1:6" x14ac:dyDescent="0.2">
      <c r="A85" s="2">
        <v>45593</v>
      </c>
      <c r="B85" s="1">
        <v>233.4</v>
      </c>
      <c r="C85">
        <f t="shared" si="0"/>
        <v>230.08049999999997</v>
      </c>
      <c r="D85">
        <f t="shared" si="1"/>
        <v>3.8916949020351419</v>
      </c>
      <c r="E85">
        <f t="shared" si="2"/>
        <v>237.86388980407025</v>
      </c>
      <c r="F85">
        <f t="shared" si="3"/>
        <v>222.29711019592969</v>
      </c>
    </row>
    <row r="86" spans="1:6" x14ac:dyDescent="0.2">
      <c r="A86" s="2">
        <v>45594</v>
      </c>
      <c r="B86" s="1">
        <v>233.67</v>
      </c>
      <c r="C86">
        <f t="shared" ref="C86:C149" si="4">AVERAGE(B67:B86)</f>
        <v>230.45350000000002</v>
      </c>
      <c r="D86">
        <f t="shared" ref="D86:D149" si="5">_xlfn.STDEV.S(B67:B86)</f>
        <v>3.8585629653920037</v>
      </c>
      <c r="E86">
        <f t="shared" ref="E86:E149" si="6">C86+D86*2</f>
        <v>238.17062593078401</v>
      </c>
      <c r="F86">
        <f t="shared" ref="F86:F149" si="7">C86+D86*-2</f>
        <v>222.73637406921603</v>
      </c>
    </row>
    <row r="87" spans="1:6" x14ac:dyDescent="0.2">
      <c r="A87" s="2">
        <v>45595</v>
      </c>
      <c r="B87" s="1">
        <v>230.1</v>
      </c>
      <c r="C87">
        <f t="shared" si="4"/>
        <v>230.61950000000007</v>
      </c>
      <c r="D87">
        <f t="shared" si="5"/>
        <v>3.7624242954440112</v>
      </c>
      <c r="E87">
        <f t="shared" si="6"/>
        <v>238.14434859088809</v>
      </c>
      <c r="F87">
        <f t="shared" si="7"/>
        <v>223.09465140911206</v>
      </c>
    </row>
    <row r="88" spans="1:6" x14ac:dyDescent="0.2">
      <c r="A88" s="2">
        <v>45596</v>
      </c>
      <c r="B88" s="1">
        <v>225.91</v>
      </c>
      <c r="C88">
        <f t="shared" si="4"/>
        <v>230.63150000000002</v>
      </c>
      <c r="D88">
        <f t="shared" si="5"/>
        <v>3.7461549058931558</v>
      </c>
      <c r="E88">
        <f t="shared" si="6"/>
        <v>238.12380981178632</v>
      </c>
      <c r="F88">
        <f t="shared" si="7"/>
        <v>223.13919018821372</v>
      </c>
    </row>
    <row r="89" spans="1:6" x14ac:dyDescent="0.2">
      <c r="A89" s="2">
        <v>45597</v>
      </c>
      <c r="B89" s="1">
        <v>222.91</v>
      </c>
      <c r="C89">
        <f t="shared" si="4"/>
        <v>230.43699999999998</v>
      </c>
      <c r="D89">
        <f t="shared" si="5"/>
        <v>4.0446483159849631</v>
      </c>
      <c r="E89">
        <f t="shared" si="6"/>
        <v>238.5262966319699</v>
      </c>
      <c r="F89">
        <f t="shared" si="7"/>
        <v>222.34770336803007</v>
      </c>
    </row>
    <row r="90" spans="1:6" x14ac:dyDescent="0.2">
      <c r="A90" s="2">
        <v>45600</v>
      </c>
      <c r="B90" s="1">
        <v>222.01</v>
      </c>
      <c r="C90">
        <f t="shared" si="4"/>
        <v>230.45300000000003</v>
      </c>
      <c r="D90">
        <f t="shared" si="5"/>
        <v>4.0086985681797422</v>
      </c>
      <c r="E90">
        <f t="shared" si="6"/>
        <v>238.47039713635951</v>
      </c>
      <c r="F90">
        <f t="shared" si="7"/>
        <v>222.43560286364055</v>
      </c>
    </row>
    <row r="91" spans="1:6" x14ac:dyDescent="0.2">
      <c r="A91" s="2">
        <v>45601</v>
      </c>
      <c r="B91" s="1">
        <v>223.45</v>
      </c>
      <c r="C91">
        <f t="shared" si="4"/>
        <v>230.33700000000005</v>
      </c>
      <c r="D91">
        <f t="shared" si="5"/>
        <v>4.1811986445591378</v>
      </c>
      <c r="E91">
        <f t="shared" si="6"/>
        <v>238.69939728911831</v>
      </c>
      <c r="F91">
        <f t="shared" si="7"/>
        <v>221.97460271088178</v>
      </c>
    </row>
    <row r="92" spans="1:6" x14ac:dyDescent="0.2">
      <c r="A92" s="2">
        <v>45602</v>
      </c>
      <c r="B92" s="1">
        <v>222.72</v>
      </c>
      <c r="C92">
        <f t="shared" si="4"/>
        <v>229.99600000000001</v>
      </c>
      <c r="D92">
        <f t="shared" si="5"/>
        <v>4.514443953636631</v>
      </c>
      <c r="E92">
        <f t="shared" si="6"/>
        <v>239.02488790727327</v>
      </c>
      <c r="F92">
        <f t="shared" si="7"/>
        <v>220.96711209272675</v>
      </c>
    </row>
    <row r="93" spans="1:6" x14ac:dyDescent="0.2">
      <c r="A93" s="2">
        <v>45603</v>
      </c>
      <c r="B93" s="1">
        <v>227.48</v>
      </c>
      <c r="C93">
        <f t="shared" si="4"/>
        <v>229.91799999999998</v>
      </c>
      <c r="D93">
        <f t="shared" si="5"/>
        <v>4.5452029078671758</v>
      </c>
      <c r="E93">
        <f t="shared" si="6"/>
        <v>239.00840581573433</v>
      </c>
      <c r="F93">
        <f t="shared" si="7"/>
        <v>220.82759418426562</v>
      </c>
    </row>
    <row r="94" spans="1:6" x14ac:dyDescent="0.2">
      <c r="A94" s="2">
        <v>45604</v>
      </c>
      <c r="B94" s="1">
        <v>226.96</v>
      </c>
      <c r="C94">
        <f t="shared" si="4"/>
        <v>229.88849999999996</v>
      </c>
      <c r="D94">
        <f t="shared" si="5"/>
        <v>4.5632597709140033</v>
      </c>
      <c r="E94">
        <f t="shared" si="6"/>
        <v>239.01501954182797</v>
      </c>
      <c r="F94">
        <f t="shared" si="7"/>
        <v>220.76198045817196</v>
      </c>
    </row>
    <row r="95" spans="1:6" x14ac:dyDescent="0.2">
      <c r="A95" s="2">
        <v>45607</v>
      </c>
      <c r="B95" s="1">
        <v>224.23</v>
      </c>
      <c r="C95">
        <f t="shared" si="4"/>
        <v>229.53499999999994</v>
      </c>
      <c r="D95">
        <f t="shared" si="5"/>
        <v>4.719335925630574</v>
      </c>
      <c r="E95">
        <f t="shared" si="6"/>
        <v>238.97367185126109</v>
      </c>
      <c r="F95">
        <f t="shared" si="7"/>
        <v>220.09632814873879</v>
      </c>
    </row>
    <row r="96" spans="1:6" x14ac:dyDescent="0.2">
      <c r="A96" s="2">
        <v>45608</v>
      </c>
      <c r="B96" s="1">
        <v>224.23</v>
      </c>
      <c r="C96">
        <f t="shared" si="4"/>
        <v>229.05399999999992</v>
      </c>
      <c r="D96">
        <f t="shared" si="5"/>
        <v>4.7465615255455704</v>
      </c>
      <c r="E96">
        <f t="shared" si="6"/>
        <v>238.54712305109106</v>
      </c>
      <c r="F96">
        <f t="shared" si="7"/>
        <v>219.56087694890877</v>
      </c>
    </row>
    <row r="97" spans="1:6" x14ac:dyDescent="0.2">
      <c r="A97" s="2">
        <v>45609</v>
      </c>
      <c r="B97" s="1">
        <v>225.12</v>
      </c>
      <c r="C97">
        <f t="shared" si="4"/>
        <v>228.72099999999992</v>
      </c>
      <c r="D97">
        <f t="shared" si="5"/>
        <v>4.7787610153789108</v>
      </c>
      <c r="E97">
        <f t="shared" si="6"/>
        <v>238.27852203075773</v>
      </c>
      <c r="F97">
        <f t="shared" si="7"/>
        <v>219.16347796924211</v>
      </c>
    </row>
    <row r="98" spans="1:6" x14ac:dyDescent="0.2">
      <c r="A98" s="2">
        <v>45610</v>
      </c>
      <c r="B98" s="1">
        <v>228.22</v>
      </c>
      <c r="C98">
        <f t="shared" si="4"/>
        <v>228.52449999999999</v>
      </c>
      <c r="D98">
        <f t="shared" si="5"/>
        <v>4.7106558656104935</v>
      </c>
      <c r="E98">
        <f t="shared" si="6"/>
        <v>237.94581173122097</v>
      </c>
      <c r="F98">
        <f t="shared" si="7"/>
        <v>219.10318826877901</v>
      </c>
    </row>
    <row r="99" spans="1:6" x14ac:dyDescent="0.2">
      <c r="A99" s="2">
        <v>45611</v>
      </c>
      <c r="B99" s="1">
        <v>225</v>
      </c>
      <c r="C99">
        <f t="shared" si="4"/>
        <v>228.02449999999999</v>
      </c>
      <c r="D99">
        <f t="shared" si="5"/>
        <v>4.5137526399590016</v>
      </c>
      <c r="E99">
        <f t="shared" si="6"/>
        <v>237.05200527991798</v>
      </c>
      <c r="F99">
        <f t="shared" si="7"/>
        <v>218.996994720082</v>
      </c>
    </row>
    <row r="100" spans="1:6" x14ac:dyDescent="0.2">
      <c r="A100" s="2">
        <v>45614</v>
      </c>
      <c r="B100" s="1">
        <v>228.02</v>
      </c>
      <c r="C100">
        <f t="shared" si="4"/>
        <v>227.60150000000004</v>
      </c>
      <c r="D100">
        <f t="shared" si="5"/>
        <v>4.052492767615874</v>
      </c>
      <c r="E100">
        <f t="shared" si="6"/>
        <v>235.70648553523179</v>
      </c>
      <c r="F100">
        <f t="shared" si="7"/>
        <v>219.4965144647683</v>
      </c>
    </row>
    <row r="101" spans="1:6" x14ac:dyDescent="0.2">
      <c r="A101" s="2">
        <v>45615</v>
      </c>
      <c r="B101" s="1">
        <v>228.28</v>
      </c>
      <c r="C101">
        <f t="shared" si="4"/>
        <v>227.22249999999994</v>
      </c>
      <c r="D101">
        <f t="shared" si="5"/>
        <v>3.5645622378306747</v>
      </c>
      <c r="E101">
        <f t="shared" si="6"/>
        <v>234.35162447566128</v>
      </c>
      <c r="F101">
        <f t="shared" si="7"/>
        <v>220.0933755243386</v>
      </c>
    </row>
    <row r="102" spans="1:6" x14ac:dyDescent="0.2">
      <c r="A102" s="2">
        <v>45616</v>
      </c>
      <c r="B102" s="1">
        <v>229</v>
      </c>
      <c r="C102">
        <f t="shared" si="4"/>
        <v>227.13449999999997</v>
      </c>
      <c r="D102">
        <f t="shared" si="5"/>
        <v>3.4936536070875426</v>
      </c>
      <c r="E102">
        <f t="shared" si="6"/>
        <v>234.12180721417505</v>
      </c>
      <c r="F102">
        <f t="shared" si="7"/>
        <v>220.1471927858249</v>
      </c>
    </row>
    <row r="103" spans="1:6" x14ac:dyDescent="0.2">
      <c r="A103" s="2">
        <v>45617</v>
      </c>
      <c r="B103" s="1">
        <v>228.52</v>
      </c>
      <c r="C103">
        <f t="shared" si="4"/>
        <v>227.03200000000001</v>
      </c>
      <c r="D103">
        <f t="shared" si="5"/>
        <v>3.4167814957169411</v>
      </c>
      <c r="E103">
        <f t="shared" si="6"/>
        <v>233.8655629914339</v>
      </c>
      <c r="F103">
        <f t="shared" si="7"/>
        <v>220.19843700856612</v>
      </c>
    </row>
    <row r="104" spans="1:6" x14ac:dyDescent="0.2">
      <c r="A104" s="2">
        <v>45618</v>
      </c>
      <c r="B104" s="1">
        <v>229.87</v>
      </c>
      <c r="C104">
        <f t="shared" si="4"/>
        <v>226.95500000000001</v>
      </c>
      <c r="D104">
        <f t="shared" si="5"/>
        <v>3.3291558911184125</v>
      </c>
      <c r="E104">
        <f t="shared" si="6"/>
        <v>233.61331178223685</v>
      </c>
      <c r="F104">
        <f t="shared" si="7"/>
        <v>220.29668821776318</v>
      </c>
    </row>
    <row r="105" spans="1:6" x14ac:dyDescent="0.2">
      <c r="A105" s="2">
        <v>45621</v>
      </c>
      <c r="B105" s="1">
        <v>232.87</v>
      </c>
      <c r="C105">
        <f t="shared" si="4"/>
        <v>226.92849999999999</v>
      </c>
      <c r="D105">
        <f t="shared" si="5"/>
        <v>3.276852268484757</v>
      </c>
      <c r="E105">
        <f t="shared" si="6"/>
        <v>233.4822045369695</v>
      </c>
      <c r="F105">
        <f t="shared" si="7"/>
        <v>220.37479546303047</v>
      </c>
    </row>
    <row r="106" spans="1:6" x14ac:dyDescent="0.2">
      <c r="A106" s="2">
        <v>45622</v>
      </c>
      <c r="B106" s="1">
        <v>235.06</v>
      </c>
      <c r="C106">
        <f t="shared" si="4"/>
        <v>226.99799999999999</v>
      </c>
      <c r="D106">
        <f t="shared" si="5"/>
        <v>3.4381322959145346</v>
      </c>
      <c r="E106">
        <f t="shared" si="6"/>
        <v>233.87426459182905</v>
      </c>
      <c r="F106">
        <f t="shared" si="7"/>
        <v>220.12173540817093</v>
      </c>
    </row>
    <row r="107" spans="1:6" x14ac:dyDescent="0.2">
      <c r="A107" s="2">
        <v>45623</v>
      </c>
      <c r="B107" s="1">
        <v>234.93</v>
      </c>
      <c r="C107">
        <f t="shared" si="4"/>
        <v>227.23949999999999</v>
      </c>
      <c r="D107">
        <f t="shared" si="5"/>
        <v>3.8163229409306694</v>
      </c>
      <c r="E107">
        <f t="shared" si="6"/>
        <v>234.87214588186134</v>
      </c>
      <c r="F107">
        <f t="shared" si="7"/>
        <v>219.60685411813864</v>
      </c>
    </row>
    <row r="108" spans="1:6" x14ac:dyDescent="0.2">
      <c r="A108" s="2">
        <v>45625</v>
      </c>
      <c r="B108" s="1">
        <v>237.33</v>
      </c>
      <c r="C108">
        <f t="shared" si="4"/>
        <v>227.81049999999999</v>
      </c>
      <c r="D108">
        <f t="shared" si="5"/>
        <v>4.414401640325142</v>
      </c>
      <c r="E108">
        <f t="shared" si="6"/>
        <v>236.63930328065027</v>
      </c>
      <c r="F108">
        <f t="shared" si="7"/>
        <v>218.98169671934971</v>
      </c>
    </row>
    <row r="109" spans="1:6" x14ac:dyDescent="0.2">
      <c r="A109" s="2">
        <v>45628</v>
      </c>
      <c r="B109" s="1">
        <v>239.59</v>
      </c>
      <c r="C109">
        <f t="shared" si="4"/>
        <v>228.64450000000002</v>
      </c>
      <c r="D109">
        <f t="shared" si="5"/>
        <v>4.9793388643790681</v>
      </c>
      <c r="E109">
        <f t="shared" si="6"/>
        <v>238.60317772875817</v>
      </c>
      <c r="F109">
        <f t="shared" si="7"/>
        <v>218.68582227124188</v>
      </c>
    </row>
    <row r="110" spans="1:6" x14ac:dyDescent="0.2">
      <c r="A110" s="2">
        <v>45629</v>
      </c>
      <c r="B110" s="1">
        <v>242.65</v>
      </c>
      <c r="C110">
        <f t="shared" si="4"/>
        <v>229.67649999999998</v>
      </c>
      <c r="D110">
        <f t="shared" si="5"/>
        <v>5.6284963636649454</v>
      </c>
      <c r="E110">
        <f t="shared" si="6"/>
        <v>240.93349272732988</v>
      </c>
      <c r="F110">
        <f t="shared" si="7"/>
        <v>218.41950727267007</v>
      </c>
    </row>
    <row r="111" spans="1:6" x14ac:dyDescent="0.2">
      <c r="A111" s="2">
        <v>45630</v>
      </c>
      <c r="B111" s="1">
        <v>243.01</v>
      </c>
      <c r="C111">
        <f t="shared" si="4"/>
        <v>230.65449999999996</v>
      </c>
      <c r="D111">
        <f t="shared" si="5"/>
        <v>6.1635716533772698</v>
      </c>
      <c r="E111">
        <f t="shared" si="6"/>
        <v>242.98164330675451</v>
      </c>
      <c r="F111">
        <f t="shared" si="7"/>
        <v>218.32735669324541</v>
      </c>
    </row>
    <row r="112" spans="1:6" x14ac:dyDescent="0.2">
      <c r="A112" s="2">
        <v>45631</v>
      </c>
      <c r="B112" s="1">
        <v>243.04</v>
      </c>
      <c r="C112">
        <f t="shared" si="4"/>
        <v>231.6705</v>
      </c>
      <c r="D112">
        <f t="shared" si="5"/>
        <v>6.4547081755551856</v>
      </c>
      <c r="E112">
        <f t="shared" si="6"/>
        <v>244.57991635111037</v>
      </c>
      <c r="F112">
        <f t="shared" si="7"/>
        <v>218.76108364888964</v>
      </c>
    </row>
    <row r="113" spans="1:6" x14ac:dyDescent="0.2">
      <c r="A113" s="2">
        <v>45632</v>
      </c>
      <c r="B113" s="1">
        <v>242.84</v>
      </c>
      <c r="C113">
        <f t="shared" si="4"/>
        <v>232.43849999999998</v>
      </c>
      <c r="D113">
        <f t="shared" si="5"/>
        <v>6.8325954650830658</v>
      </c>
      <c r="E113">
        <f t="shared" si="6"/>
        <v>246.1036909301661</v>
      </c>
      <c r="F113">
        <f t="shared" si="7"/>
        <v>218.77330906983386</v>
      </c>
    </row>
    <row r="114" spans="1:6" x14ac:dyDescent="0.2">
      <c r="A114" s="2">
        <v>45635</v>
      </c>
      <c r="B114" s="1">
        <v>246.75</v>
      </c>
      <c r="C114">
        <f t="shared" si="4"/>
        <v>233.42799999999997</v>
      </c>
      <c r="D114">
        <f t="shared" si="5"/>
        <v>7.4063476331561633</v>
      </c>
      <c r="E114">
        <f t="shared" si="6"/>
        <v>248.24069526631229</v>
      </c>
      <c r="F114">
        <f t="shared" si="7"/>
        <v>218.61530473368765</v>
      </c>
    </row>
    <row r="115" spans="1:6" x14ac:dyDescent="0.2">
      <c r="A115" s="2">
        <v>45636</v>
      </c>
      <c r="B115" s="1">
        <v>247.77</v>
      </c>
      <c r="C115">
        <f t="shared" si="4"/>
        <v>234.60500000000002</v>
      </c>
      <c r="D115">
        <f t="shared" si="5"/>
        <v>7.7310341787942072</v>
      </c>
      <c r="E115">
        <f t="shared" si="6"/>
        <v>250.06706835758843</v>
      </c>
      <c r="F115">
        <f t="shared" si="7"/>
        <v>219.14293164241161</v>
      </c>
    </row>
    <row r="116" spans="1:6" x14ac:dyDescent="0.2">
      <c r="A116" s="2">
        <v>45637</v>
      </c>
      <c r="B116" s="1">
        <v>246.49</v>
      </c>
      <c r="C116">
        <f t="shared" si="4"/>
        <v>235.71800000000002</v>
      </c>
      <c r="D116">
        <f t="shared" si="5"/>
        <v>7.7610570359835309</v>
      </c>
      <c r="E116">
        <f t="shared" si="6"/>
        <v>251.24011407196707</v>
      </c>
      <c r="F116">
        <f t="shared" si="7"/>
        <v>220.19588592803296</v>
      </c>
    </row>
    <row r="117" spans="1:6" x14ac:dyDescent="0.2">
      <c r="A117" s="2">
        <v>45638</v>
      </c>
      <c r="B117" s="1">
        <v>247.96</v>
      </c>
      <c r="C117">
        <f t="shared" si="4"/>
        <v>236.85999999999999</v>
      </c>
      <c r="D117">
        <f t="shared" si="5"/>
        <v>7.7998373802211249</v>
      </c>
      <c r="E117">
        <f t="shared" si="6"/>
        <v>252.45967476044223</v>
      </c>
      <c r="F117">
        <f t="shared" si="7"/>
        <v>221.26032523955774</v>
      </c>
    </row>
    <row r="118" spans="1:6" x14ac:dyDescent="0.2">
      <c r="A118" s="2">
        <v>45639</v>
      </c>
      <c r="B118" s="1">
        <v>248.13</v>
      </c>
      <c r="C118">
        <f t="shared" si="4"/>
        <v>237.85550000000003</v>
      </c>
      <c r="D118">
        <f t="shared" si="5"/>
        <v>7.9088714179245043</v>
      </c>
      <c r="E118">
        <f t="shared" si="6"/>
        <v>253.67324283584904</v>
      </c>
      <c r="F118">
        <f t="shared" si="7"/>
        <v>222.03775716415103</v>
      </c>
    </row>
    <row r="119" spans="1:6" x14ac:dyDescent="0.2">
      <c r="A119" s="2">
        <v>45642</v>
      </c>
      <c r="B119" s="1">
        <v>251.04</v>
      </c>
      <c r="C119">
        <f t="shared" si="4"/>
        <v>239.15750000000003</v>
      </c>
      <c r="D119">
        <f t="shared" si="5"/>
        <v>7.8241117706740333</v>
      </c>
      <c r="E119">
        <f t="shared" si="6"/>
        <v>254.8057235413481</v>
      </c>
      <c r="F119">
        <f t="shared" si="7"/>
        <v>223.50927645865195</v>
      </c>
    </row>
    <row r="120" spans="1:6" x14ac:dyDescent="0.2">
      <c r="A120" s="2">
        <v>45643</v>
      </c>
      <c r="B120" s="1">
        <v>253.48</v>
      </c>
      <c r="C120">
        <f t="shared" si="4"/>
        <v>240.43049999999999</v>
      </c>
      <c r="D120">
        <f t="shared" si="5"/>
        <v>7.9861633466890689</v>
      </c>
      <c r="E120">
        <f t="shared" si="6"/>
        <v>256.40282669337813</v>
      </c>
      <c r="F120">
        <f t="shared" si="7"/>
        <v>224.45817330662186</v>
      </c>
    </row>
    <row r="121" spans="1:6" x14ac:dyDescent="0.2">
      <c r="A121" s="2">
        <v>45644</v>
      </c>
      <c r="B121" s="1">
        <v>248.05</v>
      </c>
      <c r="C121">
        <f t="shared" si="4"/>
        <v>241.41900000000001</v>
      </c>
      <c r="D121">
        <f t="shared" si="5"/>
        <v>7.6181113144925856</v>
      </c>
      <c r="E121">
        <f t="shared" si="6"/>
        <v>256.6552226289852</v>
      </c>
      <c r="F121">
        <f t="shared" si="7"/>
        <v>226.18277737101485</v>
      </c>
    </row>
    <row r="122" spans="1:6" x14ac:dyDescent="0.2">
      <c r="A122" s="2">
        <v>45645</v>
      </c>
      <c r="B122" s="1">
        <v>249.79</v>
      </c>
      <c r="C122">
        <f t="shared" si="4"/>
        <v>242.45850000000002</v>
      </c>
      <c r="D122">
        <f t="shared" si="5"/>
        <v>7.2435367015960077</v>
      </c>
      <c r="E122">
        <f t="shared" si="6"/>
        <v>256.94557340319204</v>
      </c>
      <c r="F122">
        <f t="shared" si="7"/>
        <v>227.97142659680799</v>
      </c>
    </row>
    <row r="123" spans="1:6" x14ac:dyDescent="0.2">
      <c r="A123" s="2">
        <v>45646</v>
      </c>
      <c r="B123" s="1">
        <v>254.49</v>
      </c>
      <c r="C123">
        <f t="shared" si="4"/>
        <v>243.75699999999998</v>
      </c>
      <c r="D123">
        <f t="shared" si="5"/>
        <v>6.9345087482061301</v>
      </c>
      <c r="E123">
        <f t="shared" si="6"/>
        <v>257.62601749641226</v>
      </c>
      <c r="F123">
        <f t="shared" si="7"/>
        <v>229.88798250358772</v>
      </c>
    </row>
    <row r="124" spans="1:6" x14ac:dyDescent="0.2">
      <c r="A124" s="2">
        <v>45649</v>
      </c>
      <c r="B124" s="1">
        <v>255.27</v>
      </c>
      <c r="C124">
        <f t="shared" si="4"/>
        <v>245.02699999999999</v>
      </c>
      <c r="D124">
        <f t="shared" si="5"/>
        <v>6.5738846162195763</v>
      </c>
      <c r="E124">
        <f t="shared" si="6"/>
        <v>258.17476923243913</v>
      </c>
      <c r="F124">
        <f t="shared" si="7"/>
        <v>231.87923076756084</v>
      </c>
    </row>
    <row r="125" spans="1:6" x14ac:dyDescent="0.2">
      <c r="A125" s="2">
        <v>45650</v>
      </c>
      <c r="B125" s="1">
        <v>258.2</v>
      </c>
      <c r="C125">
        <f t="shared" si="4"/>
        <v>246.29350000000005</v>
      </c>
      <c r="D125">
        <f t="shared" si="5"/>
        <v>6.5484351485478438</v>
      </c>
      <c r="E125">
        <f t="shared" si="6"/>
        <v>259.39037029709573</v>
      </c>
      <c r="F125">
        <f t="shared" si="7"/>
        <v>233.19662970290437</v>
      </c>
    </row>
    <row r="126" spans="1:6" x14ac:dyDescent="0.2">
      <c r="A126" s="2">
        <v>45652</v>
      </c>
      <c r="B126" s="1">
        <v>259.02</v>
      </c>
      <c r="C126">
        <f t="shared" si="4"/>
        <v>247.4915</v>
      </c>
      <c r="D126">
        <f t="shared" si="5"/>
        <v>6.5767783466567113</v>
      </c>
      <c r="E126">
        <f t="shared" si="6"/>
        <v>260.64505669331345</v>
      </c>
      <c r="F126">
        <f t="shared" si="7"/>
        <v>234.33794330668658</v>
      </c>
    </row>
    <row r="127" spans="1:6" x14ac:dyDescent="0.2">
      <c r="A127" s="2">
        <v>45653</v>
      </c>
      <c r="B127" s="1">
        <v>255.59</v>
      </c>
      <c r="C127">
        <f t="shared" si="4"/>
        <v>248.52450000000007</v>
      </c>
      <c r="D127">
        <f t="shared" si="5"/>
        <v>6.1055578433872304</v>
      </c>
      <c r="E127">
        <f t="shared" si="6"/>
        <v>260.73561568677451</v>
      </c>
      <c r="F127">
        <f t="shared" si="7"/>
        <v>236.31338431322561</v>
      </c>
    </row>
    <row r="128" spans="1:6" x14ac:dyDescent="0.2">
      <c r="A128" s="2">
        <v>45656</v>
      </c>
      <c r="B128" s="1">
        <v>252.2</v>
      </c>
      <c r="C128">
        <f t="shared" si="4"/>
        <v>249.26799999999997</v>
      </c>
      <c r="D128">
        <f t="shared" si="5"/>
        <v>5.5507966237194015</v>
      </c>
      <c r="E128">
        <f t="shared" si="6"/>
        <v>260.36959324743879</v>
      </c>
      <c r="F128">
        <f t="shared" si="7"/>
        <v>238.16640675256116</v>
      </c>
    </row>
    <row r="129" spans="1:6" x14ac:dyDescent="0.2">
      <c r="A129" s="2">
        <v>45657</v>
      </c>
      <c r="B129" s="1">
        <v>250.42</v>
      </c>
      <c r="C129">
        <f t="shared" si="4"/>
        <v>249.80949999999999</v>
      </c>
      <c r="D129">
        <f t="shared" si="5"/>
        <v>5.0638787661134534</v>
      </c>
      <c r="E129">
        <f t="shared" si="6"/>
        <v>259.93725753222691</v>
      </c>
      <c r="F129">
        <f t="shared" si="7"/>
        <v>239.68174246777309</v>
      </c>
    </row>
    <row r="130" spans="1:6" x14ac:dyDescent="0.2">
      <c r="A130" s="2">
        <v>45659</v>
      </c>
      <c r="B130" s="1">
        <v>243.85</v>
      </c>
      <c r="C130">
        <f t="shared" si="4"/>
        <v>249.86950000000002</v>
      </c>
      <c r="D130">
        <f t="shared" si="5"/>
        <v>4.9810149832296098</v>
      </c>
      <c r="E130">
        <f t="shared" si="6"/>
        <v>259.83152996645924</v>
      </c>
      <c r="F130">
        <f t="shared" si="7"/>
        <v>239.90747003354079</v>
      </c>
    </row>
    <row r="131" spans="1:6" x14ac:dyDescent="0.2">
      <c r="A131" s="2">
        <v>45660</v>
      </c>
      <c r="B131" s="1">
        <v>243.36</v>
      </c>
      <c r="C131">
        <f t="shared" si="4"/>
        <v>249.887</v>
      </c>
      <c r="D131">
        <f t="shared" si="5"/>
        <v>4.956199838798395</v>
      </c>
      <c r="E131">
        <f t="shared" si="6"/>
        <v>259.7993996775968</v>
      </c>
      <c r="F131">
        <f t="shared" si="7"/>
        <v>239.97460032240321</v>
      </c>
    </row>
    <row r="132" spans="1:6" x14ac:dyDescent="0.2">
      <c r="A132" s="2">
        <v>45663</v>
      </c>
      <c r="B132" s="1">
        <v>245</v>
      </c>
      <c r="C132">
        <f t="shared" si="4"/>
        <v>249.98499999999999</v>
      </c>
      <c r="D132">
        <f t="shared" si="5"/>
        <v>4.8314958999857289</v>
      </c>
      <c r="E132">
        <f t="shared" si="6"/>
        <v>259.64799179997146</v>
      </c>
      <c r="F132">
        <f t="shared" si="7"/>
        <v>240.32200820002853</v>
      </c>
    </row>
    <row r="133" spans="1:6" x14ac:dyDescent="0.2">
      <c r="A133" s="2">
        <v>45664</v>
      </c>
      <c r="B133" s="1">
        <v>242.21</v>
      </c>
      <c r="C133">
        <f t="shared" si="4"/>
        <v>249.95349999999999</v>
      </c>
      <c r="D133">
        <f t="shared" si="5"/>
        <v>4.8823174771176419</v>
      </c>
      <c r="E133">
        <f t="shared" si="6"/>
        <v>259.71813495423527</v>
      </c>
      <c r="F133">
        <f t="shared" si="7"/>
        <v>240.18886504576471</v>
      </c>
    </row>
    <row r="134" spans="1:6" x14ac:dyDescent="0.2">
      <c r="A134" s="2">
        <v>45665</v>
      </c>
      <c r="B134" s="1">
        <v>242.7</v>
      </c>
      <c r="C134">
        <f t="shared" si="4"/>
        <v>249.75099999999998</v>
      </c>
      <c r="D134">
        <f t="shared" si="5"/>
        <v>5.1012598031219047</v>
      </c>
      <c r="E134">
        <f t="shared" si="6"/>
        <v>259.95351960624379</v>
      </c>
      <c r="F134">
        <f t="shared" si="7"/>
        <v>239.54848039375617</v>
      </c>
    </row>
    <row r="135" spans="1:6" x14ac:dyDescent="0.2">
      <c r="A135" s="2">
        <v>45667</v>
      </c>
      <c r="B135" s="1">
        <v>236.85</v>
      </c>
      <c r="C135">
        <f t="shared" si="4"/>
        <v>249.20500000000001</v>
      </c>
      <c r="D135">
        <f t="shared" si="5"/>
        <v>5.8533989226233674</v>
      </c>
      <c r="E135">
        <f t="shared" si="6"/>
        <v>260.91179784524672</v>
      </c>
      <c r="F135">
        <f t="shared" si="7"/>
        <v>237.49820215475327</v>
      </c>
    </row>
    <row r="136" spans="1:6" x14ac:dyDescent="0.2">
      <c r="A136" s="2">
        <v>45670</v>
      </c>
      <c r="B136" s="1">
        <v>234.4</v>
      </c>
      <c r="C136">
        <f t="shared" si="4"/>
        <v>248.60049999999995</v>
      </c>
      <c r="D136">
        <f t="shared" si="5"/>
        <v>6.7101325384980655</v>
      </c>
      <c r="E136">
        <f t="shared" si="6"/>
        <v>262.0207650769961</v>
      </c>
      <c r="F136">
        <f t="shared" si="7"/>
        <v>235.18023492300381</v>
      </c>
    </row>
    <row r="137" spans="1:6" x14ac:dyDescent="0.2">
      <c r="A137" s="2">
        <v>45671</v>
      </c>
      <c r="B137" s="1">
        <v>233.28</v>
      </c>
      <c r="C137">
        <f t="shared" si="4"/>
        <v>247.8665</v>
      </c>
      <c r="D137">
        <f t="shared" si="5"/>
        <v>7.5359630928529677</v>
      </c>
      <c r="E137">
        <f t="shared" si="6"/>
        <v>262.93842618570596</v>
      </c>
      <c r="F137">
        <f t="shared" si="7"/>
        <v>232.79457381429407</v>
      </c>
    </row>
    <row r="138" spans="1:6" x14ac:dyDescent="0.2">
      <c r="A138" s="2">
        <v>45672</v>
      </c>
      <c r="B138" s="1">
        <v>237.87</v>
      </c>
      <c r="C138">
        <f t="shared" si="4"/>
        <v>247.35349999999994</v>
      </c>
      <c r="D138">
        <f t="shared" si="5"/>
        <v>7.8593600080949377</v>
      </c>
      <c r="E138">
        <f t="shared" si="6"/>
        <v>263.07222001618982</v>
      </c>
      <c r="F138">
        <f t="shared" si="7"/>
        <v>231.63477998381006</v>
      </c>
    </row>
    <row r="139" spans="1:6" x14ac:dyDescent="0.2">
      <c r="A139" s="2">
        <v>45673</v>
      </c>
      <c r="B139" s="1">
        <v>228.26</v>
      </c>
      <c r="C139">
        <f t="shared" si="4"/>
        <v>246.21449999999996</v>
      </c>
      <c r="D139">
        <f t="shared" si="5"/>
        <v>8.8812229332155397</v>
      </c>
      <c r="E139">
        <f t="shared" si="6"/>
        <v>263.97694586643104</v>
      </c>
      <c r="F139">
        <f t="shared" si="7"/>
        <v>228.45205413356888</v>
      </c>
    </row>
    <row r="140" spans="1:6" x14ac:dyDescent="0.2">
      <c r="A140" s="2">
        <v>45674</v>
      </c>
      <c r="B140" s="1">
        <v>229.98</v>
      </c>
      <c r="C140">
        <f t="shared" si="4"/>
        <v>245.03949999999995</v>
      </c>
      <c r="D140">
        <f t="shared" si="5"/>
        <v>9.4082978353097815</v>
      </c>
      <c r="E140">
        <f t="shared" si="6"/>
        <v>263.85609567061954</v>
      </c>
      <c r="F140">
        <f t="shared" si="7"/>
        <v>226.22290432938038</v>
      </c>
    </row>
    <row r="141" spans="1:6" x14ac:dyDescent="0.2">
      <c r="A141" s="2">
        <v>45678</v>
      </c>
      <c r="B141" s="1">
        <v>222.64</v>
      </c>
      <c r="C141">
        <f t="shared" si="4"/>
        <v>243.76900000000001</v>
      </c>
      <c r="D141">
        <f t="shared" si="5"/>
        <v>10.618247402219296</v>
      </c>
      <c r="E141">
        <f t="shared" si="6"/>
        <v>265.00549480443863</v>
      </c>
      <c r="F141">
        <f t="shared" si="7"/>
        <v>222.53250519556141</v>
      </c>
    </row>
    <row r="142" spans="1:6" x14ac:dyDescent="0.2">
      <c r="A142" s="2">
        <v>45679</v>
      </c>
      <c r="B142" s="1">
        <v>223.83</v>
      </c>
      <c r="C142">
        <f t="shared" si="4"/>
        <v>242.471</v>
      </c>
      <c r="D142">
        <f t="shared" si="5"/>
        <v>11.401319360402756</v>
      </c>
      <c r="E142">
        <f t="shared" si="6"/>
        <v>265.27363872080554</v>
      </c>
      <c r="F142">
        <f t="shared" si="7"/>
        <v>219.6683612791945</v>
      </c>
    </row>
    <row r="143" spans="1:6" x14ac:dyDescent="0.2">
      <c r="A143" s="2">
        <v>45680</v>
      </c>
      <c r="B143" s="1">
        <v>223.66</v>
      </c>
      <c r="C143">
        <f t="shared" si="4"/>
        <v>240.92949999999996</v>
      </c>
      <c r="D143">
        <f t="shared" si="5"/>
        <v>11.769014838258888</v>
      </c>
      <c r="E143">
        <f t="shared" si="6"/>
        <v>264.46752967651776</v>
      </c>
      <c r="F143">
        <f t="shared" si="7"/>
        <v>217.3914703234822</v>
      </c>
    </row>
    <row r="144" spans="1:6" x14ac:dyDescent="0.2">
      <c r="A144" s="2">
        <v>45681</v>
      </c>
      <c r="B144" s="1">
        <v>222.78</v>
      </c>
      <c r="C144">
        <f t="shared" si="4"/>
        <v>239.30499999999998</v>
      </c>
      <c r="D144">
        <f t="shared" si="5"/>
        <v>11.926659434357882</v>
      </c>
      <c r="E144">
        <f t="shared" si="6"/>
        <v>263.15831886871575</v>
      </c>
      <c r="F144">
        <f t="shared" si="7"/>
        <v>215.4516811312842</v>
      </c>
    </row>
    <row r="145" spans="1:6" x14ac:dyDescent="0.2">
      <c r="A145" s="2">
        <v>45684</v>
      </c>
      <c r="B145" s="1">
        <v>229.86</v>
      </c>
      <c r="C145">
        <f t="shared" si="4"/>
        <v>237.88799999999998</v>
      </c>
      <c r="D145">
        <f t="shared" si="5"/>
        <v>11.226585270780479</v>
      </c>
      <c r="E145">
        <f t="shared" si="6"/>
        <v>260.34117054156093</v>
      </c>
      <c r="F145">
        <f t="shared" si="7"/>
        <v>215.43482945843903</v>
      </c>
    </row>
    <row r="146" spans="1:6" x14ac:dyDescent="0.2">
      <c r="A146" s="2">
        <v>45685</v>
      </c>
      <c r="B146" s="1">
        <v>238.26</v>
      </c>
      <c r="C146">
        <f t="shared" si="4"/>
        <v>236.85</v>
      </c>
      <c r="D146">
        <f t="shared" si="5"/>
        <v>10.070060366724404</v>
      </c>
      <c r="E146">
        <f t="shared" si="6"/>
        <v>256.9901207334488</v>
      </c>
      <c r="F146">
        <f t="shared" si="7"/>
        <v>216.70987926655118</v>
      </c>
    </row>
    <row r="147" spans="1:6" x14ac:dyDescent="0.2">
      <c r="A147" s="2">
        <v>45686</v>
      </c>
      <c r="B147" s="1">
        <v>239.36</v>
      </c>
      <c r="C147">
        <f t="shared" si="4"/>
        <v>236.03849999999997</v>
      </c>
      <c r="D147">
        <f t="shared" si="5"/>
        <v>9.0863056443836321</v>
      </c>
      <c r="E147">
        <f t="shared" si="6"/>
        <v>254.21111128876723</v>
      </c>
      <c r="F147">
        <f t="shared" si="7"/>
        <v>217.86588871123271</v>
      </c>
    </row>
    <row r="148" spans="1:6" x14ac:dyDescent="0.2">
      <c r="A148" s="2">
        <v>45687</v>
      </c>
      <c r="B148" s="1">
        <v>237.59</v>
      </c>
      <c r="C148">
        <f t="shared" si="4"/>
        <v>235.30799999999999</v>
      </c>
      <c r="D148">
        <f t="shared" si="5"/>
        <v>8.2691516779948007</v>
      </c>
      <c r="E148">
        <f t="shared" si="6"/>
        <v>251.84630335598959</v>
      </c>
      <c r="F148">
        <f t="shared" si="7"/>
        <v>218.76969664401039</v>
      </c>
    </row>
    <row r="149" spans="1:6" x14ac:dyDescent="0.2">
      <c r="A149" s="2">
        <v>45688</v>
      </c>
      <c r="B149" s="1">
        <v>236</v>
      </c>
      <c r="C149">
        <f t="shared" si="4"/>
        <v>234.58699999999999</v>
      </c>
      <c r="D149">
        <f t="shared" si="5"/>
        <v>7.4724336203492863</v>
      </c>
      <c r="E149">
        <f t="shared" si="6"/>
        <v>249.53186724069857</v>
      </c>
      <c r="F149">
        <f t="shared" si="7"/>
        <v>219.6421327593014</v>
      </c>
    </row>
    <row r="150" spans="1:6" x14ac:dyDescent="0.2">
      <c r="A150" s="2">
        <v>45691</v>
      </c>
      <c r="B150" s="1">
        <v>228.01</v>
      </c>
      <c r="C150">
        <f t="shared" ref="C150:C189" si="8">AVERAGE(B131:B150)</f>
        <v>233.79500000000002</v>
      </c>
      <c r="D150">
        <f t="shared" ref="D150:D189" si="9">_xlfn.STDEV.S(B131:B150)</f>
        <v>7.2758305729528781</v>
      </c>
      <c r="E150">
        <f t="shared" ref="E150:E189" si="10">C150+D150*2</f>
        <v>248.34666114590578</v>
      </c>
      <c r="F150">
        <f t="shared" ref="F150:F189" si="11">C150+D150*-2</f>
        <v>219.24333885409425</v>
      </c>
    </row>
    <row r="151" spans="1:6" x14ac:dyDescent="0.2">
      <c r="A151" s="2">
        <v>45692</v>
      </c>
      <c r="B151" s="1">
        <v>232.8</v>
      </c>
      <c r="C151">
        <f t="shared" si="8"/>
        <v>233.26700000000005</v>
      </c>
      <c r="D151">
        <f t="shared" si="9"/>
        <v>6.9196197796365118</v>
      </c>
      <c r="E151">
        <f t="shared" si="10"/>
        <v>247.10623955927306</v>
      </c>
      <c r="F151">
        <f t="shared" si="11"/>
        <v>219.42776044072704</v>
      </c>
    </row>
    <row r="152" spans="1:6" x14ac:dyDescent="0.2">
      <c r="A152" s="2">
        <v>45693</v>
      </c>
      <c r="B152" s="1">
        <v>232.47</v>
      </c>
      <c r="C152">
        <f t="shared" si="8"/>
        <v>232.64050000000003</v>
      </c>
      <c r="D152">
        <f t="shared" si="9"/>
        <v>6.3447595242887367</v>
      </c>
      <c r="E152">
        <f t="shared" si="10"/>
        <v>245.3300190485775</v>
      </c>
      <c r="F152">
        <f t="shared" si="11"/>
        <v>219.95098095142257</v>
      </c>
    </row>
    <row r="153" spans="1:6" x14ac:dyDescent="0.2">
      <c r="A153" s="2">
        <v>45694</v>
      </c>
      <c r="B153" s="1">
        <v>233.22</v>
      </c>
      <c r="C153">
        <f t="shared" si="8"/>
        <v>232.19100000000003</v>
      </c>
      <c r="D153">
        <f t="shared" si="9"/>
        <v>5.9364307014976783</v>
      </c>
      <c r="E153">
        <f t="shared" si="10"/>
        <v>244.0638614029954</v>
      </c>
      <c r="F153">
        <f t="shared" si="11"/>
        <v>220.31813859700466</v>
      </c>
    </row>
    <row r="154" spans="1:6" x14ac:dyDescent="0.2">
      <c r="A154" s="2">
        <v>45695</v>
      </c>
      <c r="B154" s="1">
        <v>227.63</v>
      </c>
      <c r="C154">
        <f t="shared" si="8"/>
        <v>231.43750000000006</v>
      </c>
      <c r="D154">
        <f t="shared" si="9"/>
        <v>5.4704535316649272</v>
      </c>
      <c r="E154">
        <f t="shared" si="10"/>
        <v>242.37840706332992</v>
      </c>
      <c r="F154">
        <f t="shared" si="11"/>
        <v>220.4965929366702</v>
      </c>
    </row>
    <row r="155" spans="1:6" x14ac:dyDescent="0.2">
      <c r="A155" s="2">
        <v>45698</v>
      </c>
      <c r="B155" s="1">
        <v>227.65</v>
      </c>
      <c r="C155">
        <f t="shared" si="8"/>
        <v>230.97749999999996</v>
      </c>
      <c r="D155">
        <f t="shared" si="9"/>
        <v>5.3773862512132107</v>
      </c>
      <c r="E155">
        <f t="shared" si="10"/>
        <v>241.73227250242638</v>
      </c>
      <c r="F155">
        <f t="shared" si="11"/>
        <v>220.22272749757354</v>
      </c>
    </row>
    <row r="156" spans="1:6" x14ac:dyDescent="0.2">
      <c r="A156" s="2">
        <v>45699</v>
      </c>
      <c r="B156" s="1">
        <v>232.62</v>
      </c>
      <c r="C156">
        <f t="shared" si="8"/>
        <v>230.88849999999996</v>
      </c>
      <c r="D156">
        <f t="shared" si="9"/>
        <v>5.3323010486734743</v>
      </c>
      <c r="E156">
        <f t="shared" si="10"/>
        <v>241.55310209734691</v>
      </c>
      <c r="F156">
        <f t="shared" si="11"/>
        <v>220.22389790265302</v>
      </c>
    </row>
    <row r="157" spans="1:6" x14ac:dyDescent="0.2">
      <c r="A157" s="2">
        <v>45700</v>
      </c>
      <c r="B157" s="1">
        <v>236.87</v>
      </c>
      <c r="C157">
        <f t="shared" si="8"/>
        <v>231.06799999999998</v>
      </c>
      <c r="D157">
        <f t="shared" si="9"/>
        <v>5.4755433280033614</v>
      </c>
      <c r="E157">
        <f t="shared" si="10"/>
        <v>242.01908665600672</v>
      </c>
      <c r="F157">
        <f t="shared" si="11"/>
        <v>220.11691334399325</v>
      </c>
    </row>
    <row r="158" spans="1:6" x14ac:dyDescent="0.2">
      <c r="A158" s="2">
        <v>45701</v>
      </c>
      <c r="B158" s="1">
        <v>241.53</v>
      </c>
      <c r="C158">
        <f t="shared" si="8"/>
        <v>231.25100000000003</v>
      </c>
      <c r="D158">
        <f t="shared" si="9"/>
        <v>5.7681812330094253</v>
      </c>
      <c r="E158">
        <f t="shared" si="10"/>
        <v>242.78736246601889</v>
      </c>
      <c r="F158">
        <f t="shared" si="11"/>
        <v>219.71463753398118</v>
      </c>
    </row>
    <row r="159" spans="1:6" x14ac:dyDescent="0.2">
      <c r="A159" s="2">
        <v>45702</v>
      </c>
      <c r="B159" s="1">
        <v>244.6</v>
      </c>
      <c r="C159">
        <f t="shared" si="8"/>
        <v>232.06800000000004</v>
      </c>
      <c r="D159">
        <f t="shared" si="9"/>
        <v>6.4402775357000044</v>
      </c>
      <c r="E159">
        <f t="shared" si="10"/>
        <v>244.94855507140005</v>
      </c>
      <c r="F159">
        <f t="shared" si="11"/>
        <v>219.18744492860003</v>
      </c>
    </row>
    <row r="160" spans="1:6" x14ac:dyDescent="0.2">
      <c r="A160" s="2">
        <v>45706</v>
      </c>
      <c r="B160" s="1">
        <v>244.47</v>
      </c>
      <c r="C160">
        <f t="shared" si="8"/>
        <v>232.79250000000002</v>
      </c>
      <c r="D160">
        <f t="shared" si="9"/>
        <v>6.98501469312398</v>
      </c>
      <c r="E160">
        <f t="shared" si="10"/>
        <v>246.76252938624799</v>
      </c>
      <c r="F160">
        <f t="shared" si="11"/>
        <v>218.82247061375205</v>
      </c>
    </row>
    <row r="161" spans="1:6" x14ac:dyDescent="0.2">
      <c r="A161" s="2">
        <v>45707</v>
      </c>
      <c r="B161" s="1">
        <v>244.87</v>
      </c>
      <c r="C161">
        <f t="shared" si="8"/>
        <v>233.904</v>
      </c>
      <c r="D161">
        <f t="shared" si="9"/>
        <v>7.0528168318167657</v>
      </c>
      <c r="E161">
        <f t="shared" si="10"/>
        <v>248.00963366363354</v>
      </c>
      <c r="F161">
        <f t="shared" si="11"/>
        <v>219.79836633636646</v>
      </c>
    </row>
    <row r="162" spans="1:6" x14ac:dyDescent="0.2">
      <c r="A162" s="2">
        <v>45708</v>
      </c>
      <c r="B162" s="1">
        <v>245.83</v>
      </c>
      <c r="C162">
        <f t="shared" si="8"/>
        <v>235.00399999999999</v>
      </c>
      <c r="D162">
        <f t="shared" si="9"/>
        <v>7.1142787480715981</v>
      </c>
      <c r="E162">
        <f t="shared" si="10"/>
        <v>249.23255749614319</v>
      </c>
      <c r="F162">
        <f t="shared" si="11"/>
        <v>220.77544250385679</v>
      </c>
    </row>
    <row r="163" spans="1:6" x14ac:dyDescent="0.2">
      <c r="A163" s="2">
        <v>45709</v>
      </c>
      <c r="B163" s="1">
        <v>245.55</v>
      </c>
      <c r="C163">
        <f t="shared" si="8"/>
        <v>236.09849999999997</v>
      </c>
      <c r="D163">
        <f t="shared" si="9"/>
        <v>6.959353626216795</v>
      </c>
      <c r="E163">
        <f t="shared" si="10"/>
        <v>250.01720725243356</v>
      </c>
      <c r="F163">
        <f t="shared" si="11"/>
        <v>222.17979274756638</v>
      </c>
    </row>
    <row r="164" spans="1:6" x14ac:dyDescent="0.2">
      <c r="A164" s="2">
        <v>45712</v>
      </c>
      <c r="B164" s="1">
        <v>247.1</v>
      </c>
      <c r="C164">
        <f t="shared" si="8"/>
        <v>237.31450000000004</v>
      </c>
      <c r="D164">
        <f t="shared" si="9"/>
        <v>6.6264894849940603</v>
      </c>
      <c r="E164">
        <f t="shared" si="10"/>
        <v>250.56747896998814</v>
      </c>
      <c r="F164">
        <f t="shared" si="11"/>
        <v>224.06152103001193</v>
      </c>
    </row>
    <row r="165" spans="1:6" x14ac:dyDescent="0.2">
      <c r="A165" s="2">
        <v>45713</v>
      </c>
      <c r="B165" s="1">
        <v>247.04</v>
      </c>
      <c r="C165">
        <f t="shared" si="8"/>
        <v>238.17350000000002</v>
      </c>
      <c r="D165">
        <f t="shared" si="9"/>
        <v>6.7221356842818007</v>
      </c>
      <c r="E165">
        <f t="shared" si="10"/>
        <v>251.61777136856361</v>
      </c>
      <c r="F165">
        <f t="shared" si="11"/>
        <v>224.72922863143643</v>
      </c>
    </row>
    <row r="166" spans="1:6" x14ac:dyDescent="0.2">
      <c r="A166" s="2">
        <v>45714</v>
      </c>
      <c r="B166" s="1">
        <v>240.36</v>
      </c>
      <c r="C166">
        <f t="shared" si="8"/>
        <v>238.27849999999998</v>
      </c>
      <c r="D166">
        <f t="shared" si="9"/>
        <v>6.7399354010647858</v>
      </c>
      <c r="E166">
        <f t="shared" si="10"/>
        <v>251.75837080212955</v>
      </c>
      <c r="F166">
        <f t="shared" si="11"/>
        <v>224.79862919787041</v>
      </c>
    </row>
    <row r="167" spans="1:6" x14ac:dyDescent="0.2">
      <c r="A167" s="2">
        <v>45715</v>
      </c>
      <c r="B167" s="1">
        <v>237.3</v>
      </c>
      <c r="C167">
        <f t="shared" si="8"/>
        <v>238.1755</v>
      </c>
      <c r="D167">
        <f t="shared" si="9"/>
        <v>6.7382783018872274</v>
      </c>
      <c r="E167">
        <f t="shared" si="10"/>
        <v>251.65205660377444</v>
      </c>
      <c r="F167">
        <f t="shared" si="11"/>
        <v>224.69894339622556</v>
      </c>
    </row>
    <row r="168" spans="1:6" x14ac:dyDescent="0.2">
      <c r="A168" s="2">
        <v>45716</v>
      </c>
      <c r="B168" s="1">
        <v>241.84</v>
      </c>
      <c r="C168">
        <f t="shared" si="8"/>
        <v>238.38800000000001</v>
      </c>
      <c r="D168">
        <f t="shared" si="9"/>
        <v>6.7856897411507031</v>
      </c>
      <c r="E168">
        <f t="shared" si="10"/>
        <v>251.95937948230142</v>
      </c>
      <c r="F168">
        <f t="shared" si="11"/>
        <v>224.8166205176986</v>
      </c>
    </row>
    <row r="169" spans="1:6" x14ac:dyDescent="0.2">
      <c r="A169" s="2">
        <v>45719</v>
      </c>
      <c r="B169" s="1">
        <v>238.03</v>
      </c>
      <c r="C169">
        <f t="shared" si="8"/>
        <v>238.48949999999999</v>
      </c>
      <c r="D169">
        <f t="shared" si="9"/>
        <v>6.7632353477031284</v>
      </c>
      <c r="E169">
        <f t="shared" si="10"/>
        <v>252.01597069540625</v>
      </c>
      <c r="F169">
        <f t="shared" si="11"/>
        <v>224.96302930459373</v>
      </c>
    </row>
    <row r="170" spans="1:6" x14ac:dyDescent="0.2">
      <c r="A170" s="2">
        <v>45720</v>
      </c>
      <c r="B170" s="1">
        <v>235.93</v>
      </c>
      <c r="C170">
        <f t="shared" si="8"/>
        <v>238.88550000000001</v>
      </c>
      <c r="D170">
        <f t="shared" si="9"/>
        <v>6.3356987526405106</v>
      </c>
      <c r="E170">
        <f t="shared" si="10"/>
        <v>251.55689750528103</v>
      </c>
      <c r="F170">
        <f t="shared" si="11"/>
        <v>226.21410249471899</v>
      </c>
    </row>
    <row r="171" spans="1:6" x14ac:dyDescent="0.2">
      <c r="A171" s="2">
        <v>45721</v>
      </c>
      <c r="B171" s="1">
        <v>235.74</v>
      </c>
      <c r="C171">
        <f t="shared" si="8"/>
        <v>239.03250000000003</v>
      </c>
      <c r="D171">
        <f t="shared" si="9"/>
        <v>6.220125125666474</v>
      </c>
      <c r="E171">
        <f t="shared" si="10"/>
        <v>251.47275025133297</v>
      </c>
      <c r="F171">
        <f t="shared" si="11"/>
        <v>226.59224974866709</v>
      </c>
    </row>
    <row r="172" spans="1:6" x14ac:dyDescent="0.2">
      <c r="A172" s="2">
        <v>45722</v>
      </c>
      <c r="B172" s="1">
        <v>235.33</v>
      </c>
      <c r="C172">
        <f t="shared" si="8"/>
        <v>239.1755</v>
      </c>
      <c r="D172">
        <f t="shared" si="9"/>
        <v>6.0928875489549705</v>
      </c>
      <c r="E172">
        <f t="shared" si="10"/>
        <v>251.36127509790995</v>
      </c>
      <c r="F172">
        <f t="shared" si="11"/>
        <v>226.98972490209005</v>
      </c>
    </row>
    <row r="173" spans="1:6" x14ac:dyDescent="0.2">
      <c r="A173" s="2">
        <v>45723</v>
      </c>
      <c r="B173" s="1">
        <v>239.07</v>
      </c>
      <c r="C173">
        <f t="shared" si="8"/>
        <v>239.46799999999999</v>
      </c>
      <c r="D173">
        <f t="shared" si="9"/>
        <v>5.9301829207608927</v>
      </c>
      <c r="E173">
        <f t="shared" si="10"/>
        <v>251.32836584152179</v>
      </c>
      <c r="F173">
        <f t="shared" si="11"/>
        <v>227.60763415847819</v>
      </c>
    </row>
    <row r="174" spans="1:6" x14ac:dyDescent="0.2">
      <c r="A174" s="2">
        <v>45726</v>
      </c>
      <c r="B174" s="1">
        <v>227.48</v>
      </c>
      <c r="C174">
        <f t="shared" si="8"/>
        <v>239.4605</v>
      </c>
      <c r="D174">
        <f t="shared" si="9"/>
        <v>5.9460163355946039</v>
      </c>
      <c r="E174">
        <f t="shared" si="10"/>
        <v>251.35253267118921</v>
      </c>
      <c r="F174">
        <f t="shared" si="11"/>
        <v>227.56846732881078</v>
      </c>
    </row>
    <row r="175" spans="1:6" x14ac:dyDescent="0.2">
      <c r="A175" s="2">
        <v>45727</v>
      </c>
      <c r="B175" s="1">
        <v>220.84</v>
      </c>
      <c r="C175">
        <f t="shared" si="8"/>
        <v>239.11999999999998</v>
      </c>
      <c r="D175">
        <f t="shared" si="9"/>
        <v>6.7926562512295892</v>
      </c>
      <c r="E175">
        <f t="shared" si="10"/>
        <v>252.70531250245915</v>
      </c>
      <c r="F175">
        <f t="shared" si="11"/>
        <v>225.5346874975408</v>
      </c>
    </row>
    <row r="176" spans="1:6" x14ac:dyDescent="0.2">
      <c r="A176" s="2">
        <v>45728</v>
      </c>
      <c r="B176" s="1">
        <v>216.98</v>
      </c>
      <c r="C176">
        <f t="shared" si="8"/>
        <v>238.33799999999997</v>
      </c>
      <c r="D176">
        <f t="shared" si="9"/>
        <v>8.3109392717638961</v>
      </c>
      <c r="E176">
        <f t="shared" si="10"/>
        <v>254.95987854352776</v>
      </c>
      <c r="F176">
        <f t="shared" si="11"/>
        <v>221.71612145647217</v>
      </c>
    </row>
    <row r="177" spans="1:6" x14ac:dyDescent="0.2">
      <c r="A177" s="2">
        <v>45729</v>
      </c>
      <c r="B177" s="1">
        <v>209.68</v>
      </c>
      <c r="C177">
        <f t="shared" si="8"/>
        <v>236.97850000000003</v>
      </c>
      <c r="D177">
        <f t="shared" si="9"/>
        <v>10.499432703973257</v>
      </c>
      <c r="E177">
        <f t="shared" si="10"/>
        <v>257.97736540794654</v>
      </c>
      <c r="F177">
        <f t="shared" si="11"/>
        <v>215.97963459205351</v>
      </c>
    </row>
    <row r="178" spans="1:6" x14ac:dyDescent="0.2">
      <c r="A178" s="2">
        <v>45730</v>
      </c>
      <c r="B178" s="1">
        <v>213.49</v>
      </c>
      <c r="C178">
        <f t="shared" si="8"/>
        <v>235.57650000000004</v>
      </c>
      <c r="D178">
        <f t="shared" si="9"/>
        <v>11.666878568251056</v>
      </c>
      <c r="E178">
        <f t="shared" si="10"/>
        <v>258.91025713650214</v>
      </c>
      <c r="F178">
        <f t="shared" si="11"/>
        <v>212.24274286349794</v>
      </c>
    </row>
    <row r="179" spans="1:6" x14ac:dyDescent="0.2">
      <c r="A179" s="2">
        <v>45733</v>
      </c>
      <c r="B179" s="1">
        <v>214</v>
      </c>
      <c r="C179">
        <f t="shared" si="8"/>
        <v>234.04649999999998</v>
      </c>
      <c r="D179">
        <f t="shared" si="9"/>
        <v>12.404389832041847</v>
      </c>
      <c r="E179">
        <f t="shared" si="10"/>
        <v>258.8552796640837</v>
      </c>
      <c r="F179">
        <f t="shared" si="11"/>
        <v>209.23772033591629</v>
      </c>
    </row>
    <row r="180" spans="1:6" x14ac:dyDescent="0.2">
      <c r="A180" s="2">
        <v>45734</v>
      </c>
      <c r="B180" s="1">
        <v>212.69</v>
      </c>
      <c r="C180">
        <f t="shared" si="8"/>
        <v>232.45749999999998</v>
      </c>
      <c r="D180">
        <f t="shared" si="9"/>
        <v>13.01913808894227</v>
      </c>
      <c r="E180">
        <f t="shared" si="10"/>
        <v>258.49577617788452</v>
      </c>
      <c r="F180">
        <f t="shared" si="11"/>
        <v>206.41922382211544</v>
      </c>
    </row>
    <row r="181" spans="1:6" x14ac:dyDescent="0.2">
      <c r="A181" s="2">
        <v>45735</v>
      </c>
      <c r="B181" s="1">
        <v>215.24</v>
      </c>
      <c r="C181">
        <f t="shared" si="8"/>
        <v>230.97599999999997</v>
      </c>
      <c r="D181">
        <f t="shared" si="9"/>
        <v>13.216688971464112</v>
      </c>
      <c r="E181">
        <f t="shared" si="10"/>
        <v>257.40937794292819</v>
      </c>
      <c r="F181">
        <f t="shared" si="11"/>
        <v>204.54262205707175</v>
      </c>
    </row>
    <row r="182" spans="1:6" x14ac:dyDescent="0.2">
      <c r="A182" s="2">
        <v>45736</v>
      </c>
      <c r="B182" s="1">
        <v>214.1</v>
      </c>
      <c r="C182">
        <f t="shared" si="8"/>
        <v>229.3895</v>
      </c>
      <c r="D182">
        <f t="shared" si="9"/>
        <v>13.244174280355157</v>
      </c>
      <c r="E182">
        <f t="shared" si="10"/>
        <v>255.87784856071031</v>
      </c>
      <c r="F182">
        <f t="shared" si="11"/>
        <v>202.90115143928969</v>
      </c>
    </row>
    <row r="183" spans="1:6" x14ac:dyDescent="0.2">
      <c r="A183" s="2">
        <v>45737</v>
      </c>
      <c r="B183" s="1">
        <v>218.27</v>
      </c>
      <c r="C183">
        <f t="shared" si="8"/>
        <v>228.02550000000005</v>
      </c>
      <c r="D183">
        <f t="shared" si="9"/>
        <v>12.892320225214455</v>
      </c>
      <c r="E183">
        <f t="shared" si="10"/>
        <v>253.81014045042895</v>
      </c>
      <c r="F183">
        <f t="shared" si="11"/>
        <v>202.24085954957116</v>
      </c>
    </row>
    <row r="184" spans="1:6" x14ac:dyDescent="0.2">
      <c r="A184" s="2">
        <v>45740</v>
      </c>
      <c r="B184" s="1">
        <v>220.73</v>
      </c>
      <c r="C184">
        <f t="shared" si="8"/>
        <v>226.70700000000002</v>
      </c>
      <c r="D184">
        <f t="shared" si="9"/>
        <v>12.166921117262339</v>
      </c>
      <c r="E184">
        <f t="shared" si="10"/>
        <v>251.04084223452469</v>
      </c>
      <c r="F184">
        <f t="shared" si="11"/>
        <v>202.37315776547536</v>
      </c>
    </row>
    <row r="185" spans="1:6" x14ac:dyDescent="0.2">
      <c r="A185" s="2">
        <v>45741</v>
      </c>
      <c r="B185" s="1">
        <v>223.75</v>
      </c>
      <c r="C185">
        <f t="shared" si="8"/>
        <v>225.54249999999996</v>
      </c>
      <c r="D185">
        <f t="shared" si="9"/>
        <v>11.194070740210735</v>
      </c>
      <c r="E185">
        <f t="shared" si="10"/>
        <v>247.93064148042143</v>
      </c>
      <c r="F185">
        <f t="shared" si="11"/>
        <v>203.15435851957849</v>
      </c>
    </row>
    <row r="186" spans="1:6" x14ac:dyDescent="0.2">
      <c r="A186" s="2">
        <v>45742</v>
      </c>
      <c r="B186" s="1">
        <v>221.53</v>
      </c>
      <c r="C186">
        <f t="shared" si="8"/>
        <v>224.60099999999997</v>
      </c>
      <c r="D186">
        <f t="shared" si="9"/>
        <v>10.661417354179513</v>
      </c>
      <c r="E186">
        <f t="shared" si="10"/>
        <v>245.92383470835898</v>
      </c>
      <c r="F186">
        <f t="shared" si="11"/>
        <v>203.27816529164096</v>
      </c>
    </row>
    <row r="187" spans="1:6" x14ac:dyDescent="0.2">
      <c r="A187" s="2">
        <v>45743</v>
      </c>
      <c r="B187" s="1">
        <v>223.85</v>
      </c>
      <c r="C187">
        <f t="shared" si="8"/>
        <v>223.92850000000004</v>
      </c>
      <c r="D187">
        <f t="shared" si="9"/>
        <v>10.233857262717914</v>
      </c>
      <c r="E187">
        <f t="shared" si="10"/>
        <v>244.39621452543588</v>
      </c>
      <c r="F187">
        <f t="shared" si="11"/>
        <v>203.4607854745642</v>
      </c>
    </row>
    <row r="188" spans="1:6" x14ac:dyDescent="0.2">
      <c r="A188" s="2">
        <v>45744</v>
      </c>
      <c r="B188" s="1">
        <v>217.9</v>
      </c>
      <c r="C188">
        <f t="shared" si="8"/>
        <v>222.73150000000001</v>
      </c>
      <c r="D188">
        <f t="shared" si="9"/>
        <v>9.3942021733452279</v>
      </c>
      <c r="E188">
        <f t="shared" si="10"/>
        <v>241.51990434669045</v>
      </c>
      <c r="F188">
        <f t="shared" si="11"/>
        <v>203.94309565330957</v>
      </c>
    </row>
    <row r="189" spans="1:6" x14ac:dyDescent="0.2">
      <c r="A189" s="2">
        <v>45747</v>
      </c>
      <c r="B189" s="1">
        <v>222.13</v>
      </c>
      <c r="C189">
        <f t="shared" si="8"/>
        <v>221.93650000000002</v>
      </c>
      <c r="D189">
        <f t="shared" si="9"/>
        <v>8.6767895317880885</v>
      </c>
      <c r="E189">
        <f t="shared" si="10"/>
        <v>239.2900790635762</v>
      </c>
      <c r="F189">
        <f t="shared" si="11"/>
        <v>204.58292093642385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FE66D-0C95-3A4B-8317-5980D2D77B7A}">
  <dimension ref="A1:D189"/>
  <sheetViews>
    <sheetView workbookViewId="0">
      <selection activeCell="F28" sqref="F28"/>
    </sheetView>
  </sheetViews>
  <sheetFormatPr baseColWidth="10" defaultRowHeight="16" x14ac:dyDescent="0.2"/>
  <sheetData>
    <row r="1" spans="1:4" x14ac:dyDescent="0.2">
      <c r="A1" s="1" t="s">
        <v>0</v>
      </c>
      <c r="B1" s="1" t="s">
        <v>1</v>
      </c>
      <c r="C1" t="s">
        <v>36</v>
      </c>
      <c r="D1" t="s">
        <v>37</v>
      </c>
    </row>
    <row r="2" spans="1:4" x14ac:dyDescent="0.2">
      <c r="A2" s="2">
        <v>45474</v>
      </c>
      <c r="B2" s="1">
        <v>216.75</v>
      </c>
    </row>
    <row r="3" spans="1:4" x14ac:dyDescent="0.2">
      <c r="A3" s="2">
        <v>45475</v>
      </c>
      <c r="B3" s="1">
        <v>220.27</v>
      </c>
    </row>
    <row r="4" spans="1:4" x14ac:dyDescent="0.2">
      <c r="A4" s="2">
        <v>45476</v>
      </c>
      <c r="B4" s="1">
        <v>221.55</v>
      </c>
    </row>
    <row r="5" spans="1:4" x14ac:dyDescent="0.2">
      <c r="A5" s="2">
        <v>45478</v>
      </c>
      <c r="B5" s="1">
        <v>226.34</v>
      </c>
    </row>
    <row r="6" spans="1:4" x14ac:dyDescent="0.2">
      <c r="A6" s="2">
        <v>45481</v>
      </c>
      <c r="B6" s="1">
        <v>227.82</v>
      </c>
    </row>
    <row r="7" spans="1:4" x14ac:dyDescent="0.2">
      <c r="A7" s="2">
        <v>45482</v>
      </c>
      <c r="B7" s="1">
        <v>228.68</v>
      </c>
    </row>
    <row r="8" spans="1:4" x14ac:dyDescent="0.2">
      <c r="A8" s="2">
        <v>45483</v>
      </c>
      <c r="B8" s="1">
        <v>232.98</v>
      </c>
    </row>
    <row r="9" spans="1:4" x14ac:dyDescent="0.2">
      <c r="A9" s="2">
        <v>45484</v>
      </c>
      <c r="B9" s="1">
        <v>227.57</v>
      </c>
    </row>
    <row r="10" spans="1:4" x14ac:dyDescent="0.2">
      <c r="A10" s="2">
        <v>45485</v>
      </c>
      <c r="B10" s="1">
        <v>230.54</v>
      </c>
    </row>
    <row r="11" spans="1:4" x14ac:dyDescent="0.2">
      <c r="A11" s="2">
        <v>45488</v>
      </c>
      <c r="B11" s="1">
        <v>234.4</v>
      </c>
    </row>
    <row r="12" spans="1:4" x14ac:dyDescent="0.2">
      <c r="A12" s="2">
        <v>45489</v>
      </c>
      <c r="B12" s="1">
        <v>234.82</v>
      </c>
    </row>
    <row r="13" spans="1:4" x14ac:dyDescent="0.2">
      <c r="A13" s="2">
        <v>45490</v>
      </c>
      <c r="B13" s="1">
        <v>228.88</v>
      </c>
    </row>
    <row r="14" spans="1:4" x14ac:dyDescent="0.2">
      <c r="A14" s="2">
        <v>45491</v>
      </c>
      <c r="B14" s="1">
        <v>224.18</v>
      </c>
    </row>
    <row r="15" spans="1:4" x14ac:dyDescent="0.2">
      <c r="A15" s="2">
        <v>45492</v>
      </c>
      <c r="B15" s="1">
        <v>224.31</v>
      </c>
      <c r="C15">
        <f>(B15-MIN(B2:B15)) /(MAX(B2:B15)-MIN(B2:B15))*100</f>
        <v>41.837299391256252</v>
      </c>
    </row>
    <row r="16" spans="1:4" x14ac:dyDescent="0.2">
      <c r="A16" s="2">
        <v>45495</v>
      </c>
      <c r="B16" s="1">
        <v>223.96</v>
      </c>
      <c r="C16">
        <f t="shared" ref="C16:C79" si="0">(B16-MIN(B3:B16)) /(MAX(B3:B16)-MIN(B3:B16))*100</f>
        <v>25.360824742268058</v>
      </c>
    </row>
    <row r="17" spans="1:4" x14ac:dyDescent="0.2">
      <c r="A17" s="2">
        <v>45496</v>
      </c>
      <c r="B17" s="1">
        <v>225.01</v>
      </c>
      <c r="C17">
        <f t="shared" si="0"/>
        <v>26.073850791258359</v>
      </c>
      <c r="D17">
        <f>AVERAGE(C15:C17)</f>
        <v>31.090658308260895</v>
      </c>
    </row>
    <row r="18" spans="1:4" x14ac:dyDescent="0.2">
      <c r="A18" s="2">
        <v>45497</v>
      </c>
      <c r="B18" s="1">
        <v>218.54</v>
      </c>
      <c r="C18">
        <f t="shared" si="0"/>
        <v>0</v>
      </c>
      <c r="D18">
        <f t="shared" ref="D18:D81" si="1">AVERAGE(C16:C18)</f>
        <v>17.144891844508805</v>
      </c>
    </row>
    <row r="19" spans="1:4" x14ac:dyDescent="0.2">
      <c r="A19" s="2">
        <v>45498</v>
      </c>
      <c r="B19" s="1">
        <v>217.49</v>
      </c>
      <c r="C19">
        <f t="shared" si="0"/>
        <v>0</v>
      </c>
      <c r="D19">
        <f t="shared" si="1"/>
        <v>8.6912835970861195</v>
      </c>
    </row>
    <row r="20" spans="1:4" x14ac:dyDescent="0.2">
      <c r="A20" s="2">
        <v>45499</v>
      </c>
      <c r="B20" s="1">
        <v>217.96</v>
      </c>
      <c r="C20">
        <f t="shared" si="0"/>
        <v>2.712060011540677</v>
      </c>
      <c r="D20">
        <f t="shared" si="1"/>
        <v>0.90402000384689229</v>
      </c>
    </row>
    <row r="21" spans="1:4" x14ac:dyDescent="0.2">
      <c r="A21" s="2">
        <v>45502</v>
      </c>
      <c r="B21" s="1">
        <v>218.24</v>
      </c>
      <c r="C21">
        <f t="shared" si="0"/>
        <v>4.3277553375649198</v>
      </c>
      <c r="D21">
        <f t="shared" si="1"/>
        <v>2.3466051163685324</v>
      </c>
    </row>
    <row r="22" spans="1:4" x14ac:dyDescent="0.2">
      <c r="A22" s="2">
        <v>45503</v>
      </c>
      <c r="B22" s="1">
        <v>218.8</v>
      </c>
      <c r="C22">
        <f t="shared" si="0"/>
        <v>7.5591459896134072</v>
      </c>
      <c r="D22">
        <f t="shared" si="1"/>
        <v>4.8663204462396683</v>
      </c>
    </row>
    <row r="23" spans="1:4" x14ac:dyDescent="0.2">
      <c r="A23" s="2">
        <v>45504</v>
      </c>
      <c r="B23" s="1">
        <v>222.08</v>
      </c>
      <c r="C23">
        <f t="shared" si="0"/>
        <v>26.485862665897329</v>
      </c>
      <c r="D23">
        <f t="shared" si="1"/>
        <v>12.790921331025219</v>
      </c>
    </row>
    <row r="24" spans="1:4" x14ac:dyDescent="0.2">
      <c r="A24" s="2">
        <v>45505</v>
      </c>
      <c r="B24" s="1">
        <v>218.36</v>
      </c>
      <c r="C24">
        <f t="shared" si="0"/>
        <v>5.0201961915753337</v>
      </c>
      <c r="D24">
        <f t="shared" si="1"/>
        <v>13.021734949028689</v>
      </c>
    </row>
    <row r="25" spans="1:4" x14ac:dyDescent="0.2">
      <c r="A25" s="2">
        <v>45506</v>
      </c>
      <c r="B25" s="1">
        <v>219.86</v>
      </c>
      <c r="C25">
        <f t="shared" si="0"/>
        <v>13.675706866705175</v>
      </c>
      <c r="D25">
        <f t="shared" si="1"/>
        <v>15.060588574725946</v>
      </c>
    </row>
    <row r="26" spans="1:4" x14ac:dyDescent="0.2">
      <c r="A26" s="2">
        <v>45509</v>
      </c>
      <c r="B26" s="1">
        <v>209.27</v>
      </c>
      <c r="C26">
        <f t="shared" si="0"/>
        <v>0</v>
      </c>
      <c r="D26">
        <f t="shared" si="1"/>
        <v>6.231967686093502</v>
      </c>
    </row>
    <row r="27" spans="1:4" x14ac:dyDescent="0.2">
      <c r="A27" s="2">
        <v>45510</v>
      </c>
      <c r="B27" s="1">
        <v>207.23</v>
      </c>
      <c r="C27">
        <f t="shared" si="0"/>
        <v>0</v>
      </c>
      <c r="D27">
        <f t="shared" si="1"/>
        <v>4.5585689555683917</v>
      </c>
    </row>
    <row r="28" spans="1:4" x14ac:dyDescent="0.2">
      <c r="A28" s="2">
        <v>45511</v>
      </c>
      <c r="B28" s="1">
        <v>209.82</v>
      </c>
      <c r="C28">
        <f t="shared" si="0"/>
        <v>14.566929133858286</v>
      </c>
      <c r="D28">
        <f t="shared" si="1"/>
        <v>4.8556430446194287</v>
      </c>
    </row>
    <row r="29" spans="1:4" x14ac:dyDescent="0.2">
      <c r="A29" s="2">
        <v>45512</v>
      </c>
      <c r="B29" s="1">
        <v>213.31</v>
      </c>
      <c r="C29">
        <f t="shared" si="0"/>
        <v>34.195725534308281</v>
      </c>
      <c r="D29">
        <f t="shared" si="1"/>
        <v>16.254218222722191</v>
      </c>
    </row>
    <row r="30" spans="1:4" x14ac:dyDescent="0.2">
      <c r="A30" s="2">
        <v>45513</v>
      </c>
      <c r="B30" s="1">
        <v>216.24</v>
      </c>
      <c r="C30">
        <f t="shared" si="0"/>
        <v>50.674915635545659</v>
      </c>
      <c r="D30">
        <f t="shared" si="1"/>
        <v>33.145856767904071</v>
      </c>
    </row>
    <row r="31" spans="1:4" x14ac:dyDescent="0.2">
      <c r="A31" s="2">
        <v>45516</v>
      </c>
      <c r="B31" s="1">
        <v>217.53</v>
      </c>
      <c r="C31">
        <f t="shared" si="0"/>
        <v>69.360269360269328</v>
      </c>
      <c r="D31">
        <f t="shared" si="1"/>
        <v>51.410303510041082</v>
      </c>
    </row>
    <row r="32" spans="1:4" x14ac:dyDescent="0.2">
      <c r="A32" s="2">
        <v>45517</v>
      </c>
      <c r="B32" s="1">
        <v>221.27</v>
      </c>
      <c r="C32">
        <f t="shared" si="0"/>
        <v>94.545454545454547</v>
      </c>
      <c r="D32">
        <f t="shared" si="1"/>
        <v>71.526879847089845</v>
      </c>
    </row>
    <row r="33" spans="1:4" x14ac:dyDescent="0.2">
      <c r="A33" s="2">
        <v>45518</v>
      </c>
      <c r="B33" s="1">
        <v>221.72</v>
      </c>
      <c r="C33">
        <f t="shared" si="0"/>
        <v>97.575757575757478</v>
      </c>
      <c r="D33">
        <f t="shared" si="1"/>
        <v>87.160493827160451</v>
      </c>
    </row>
    <row r="34" spans="1:4" x14ac:dyDescent="0.2">
      <c r="A34" s="2">
        <v>45519</v>
      </c>
      <c r="B34" s="1">
        <v>224.72</v>
      </c>
      <c r="C34">
        <f t="shared" si="0"/>
        <v>100</v>
      </c>
      <c r="D34">
        <f t="shared" si="1"/>
        <v>97.373737373737342</v>
      </c>
    </row>
    <row r="35" spans="1:4" x14ac:dyDescent="0.2">
      <c r="A35" s="2">
        <v>45520</v>
      </c>
      <c r="B35" s="1">
        <v>226.05</v>
      </c>
      <c r="C35">
        <f t="shared" si="0"/>
        <v>100</v>
      </c>
      <c r="D35">
        <f t="shared" si="1"/>
        <v>99.191919191919169</v>
      </c>
    </row>
    <row r="36" spans="1:4" x14ac:dyDescent="0.2">
      <c r="A36" s="2">
        <v>45523</v>
      </c>
      <c r="B36" s="1">
        <v>225.89</v>
      </c>
      <c r="C36">
        <f t="shared" si="0"/>
        <v>99.149840595111442</v>
      </c>
      <c r="D36">
        <f t="shared" si="1"/>
        <v>99.7166135317038</v>
      </c>
    </row>
    <row r="37" spans="1:4" x14ac:dyDescent="0.2">
      <c r="A37" s="2">
        <v>45524</v>
      </c>
      <c r="B37" s="1">
        <v>226.51</v>
      </c>
      <c r="C37">
        <f t="shared" si="0"/>
        <v>100</v>
      </c>
      <c r="D37">
        <f t="shared" si="1"/>
        <v>99.7166135317038</v>
      </c>
    </row>
    <row r="38" spans="1:4" x14ac:dyDescent="0.2">
      <c r="A38" s="2">
        <v>45525</v>
      </c>
      <c r="B38" s="1">
        <v>226.4</v>
      </c>
      <c r="C38">
        <f t="shared" si="0"/>
        <v>99.429460580912945</v>
      </c>
      <c r="D38">
        <f t="shared" si="1"/>
        <v>99.526433725341462</v>
      </c>
    </row>
    <row r="39" spans="1:4" x14ac:dyDescent="0.2">
      <c r="A39" s="2">
        <v>45526</v>
      </c>
      <c r="B39" s="1">
        <v>224.53</v>
      </c>
      <c r="C39">
        <f t="shared" si="0"/>
        <v>89.73029045643159</v>
      </c>
      <c r="D39">
        <f t="shared" si="1"/>
        <v>96.38658367911485</v>
      </c>
    </row>
    <row r="40" spans="1:4" x14ac:dyDescent="0.2">
      <c r="A40" s="2">
        <v>45527</v>
      </c>
      <c r="B40" s="1">
        <v>226.84</v>
      </c>
      <c r="C40">
        <f t="shared" si="0"/>
        <v>100</v>
      </c>
      <c r="D40">
        <f t="shared" si="1"/>
        <v>96.38658367911485</v>
      </c>
    </row>
    <row r="41" spans="1:4" x14ac:dyDescent="0.2">
      <c r="A41" s="2">
        <v>45530</v>
      </c>
      <c r="B41" s="1">
        <v>227.18</v>
      </c>
      <c r="C41">
        <f t="shared" si="0"/>
        <v>100</v>
      </c>
      <c r="D41">
        <f t="shared" si="1"/>
        <v>96.576763485477201</v>
      </c>
    </row>
    <row r="42" spans="1:4" x14ac:dyDescent="0.2">
      <c r="A42" s="2">
        <v>45531</v>
      </c>
      <c r="B42" s="1">
        <v>228.03</v>
      </c>
      <c r="C42">
        <f t="shared" si="0"/>
        <v>100</v>
      </c>
      <c r="D42">
        <f t="shared" si="1"/>
        <v>100</v>
      </c>
    </row>
    <row r="43" spans="1:4" x14ac:dyDescent="0.2">
      <c r="A43" s="2">
        <v>45532</v>
      </c>
      <c r="B43" s="1">
        <v>226.49</v>
      </c>
      <c r="C43">
        <f t="shared" si="0"/>
        <v>86.938083121289296</v>
      </c>
      <c r="D43">
        <f t="shared" si="1"/>
        <v>95.646027707096437</v>
      </c>
    </row>
    <row r="44" spans="1:4" x14ac:dyDescent="0.2">
      <c r="A44" s="2">
        <v>45533</v>
      </c>
      <c r="B44" s="1">
        <v>229.79</v>
      </c>
      <c r="C44">
        <f t="shared" si="0"/>
        <v>100</v>
      </c>
      <c r="D44">
        <f t="shared" si="1"/>
        <v>95.646027707096437</v>
      </c>
    </row>
    <row r="45" spans="1:4" x14ac:dyDescent="0.2">
      <c r="A45" s="2">
        <v>45534</v>
      </c>
      <c r="B45" s="1">
        <v>229</v>
      </c>
      <c r="C45">
        <f t="shared" si="0"/>
        <v>90.727699530516503</v>
      </c>
      <c r="D45">
        <f t="shared" si="1"/>
        <v>92.555260883935262</v>
      </c>
    </row>
    <row r="46" spans="1:4" x14ac:dyDescent="0.2">
      <c r="A46" s="2">
        <v>45538</v>
      </c>
      <c r="B46" s="1">
        <v>222.77</v>
      </c>
      <c r="C46">
        <f t="shared" si="0"/>
        <v>13.01115241635703</v>
      </c>
      <c r="D46">
        <f t="shared" si="1"/>
        <v>67.912950648957846</v>
      </c>
    </row>
    <row r="47" spans="1:4" x14ac:dyDescent="0.2">
      <c r="A47" s="2">
        <v>45539</v>
      </c>
      <c r="B47" s="1">
        <v>220.85</v>
      </c>
      <c r="C47">
        <f t="shared" si="0"/>
        <v>0</v>
      </c>
      <c r="D47">
        <f t="shared" si="1"/>
        <v>34.57961731562451</v>
      </c>
    </row>
    <row r="48" spans="1:4" x14ac:dyDescent="0.2">
      <c r="A48" s="2">
        <v>45540</v>
      </c>
      <c r="B48" s="1">
        <v>222.38</v>
      </c>
      <c r="C48">
        <f t="shared" si="0"/>
        <v>17.114093959731562</v>
      </c>
      <c r="D48">
        <f t="shared" si="1"/>
        <v>10.04174879202953</v>
      </c>
    </row>
    <row r="49" spans="1:4" x14ac:dyDescent="0.2">
      <c r="A49" s="2">
        <v>45541</v>
      </c>
      <c r="B49" s="1">
        <v>220.82</v>
      </c>
      <c r="C49">
        <f t="shared" si="0"/>
        <v>0</v>
      </c>
      <c r="D49">
        <f t="shared" si="1"/>
        <v>5.7046979865771874</v>
      </c>
    </row>
    <row r="50" spans="1:4" x14ac:dyDescent="0.2">
      <c r="A50" s="2">
        <v>45544</v>
      </c>
      <c r="B50" s="1">
        <v>220.91</v>
      </c>
      <c r="C50">
        <f t="shared" si="0"/>
        <v>1.0033444816053894</v>
      </c>
      <c r="D50">
        <f t="shared" si="1"/>
        <v>6.0391461471123167</v>
      </c>
    </row>
    <row r="51" spans="1:4" x14ac:dyDescent="0.2">
      <c r="A51" s="2">
        <v>45545</v>
      </c>
      <c r="B51" s="1">
        <v>220.11</v>
      </c>
      <c r="C51">
        <f t="shared" si="0"/>
        <v>0</v>
      </c>
      <c r="D51">
        <f t="shared" si="1"/>
        <v>0.33444816053512977</v>
      </c>
    </row>
    <row r="52" spans="1:4" x14ac:dyDescent="0.2">
      <c r="A52" s="2">
        <v>45546</v>
      </c>
      <c r="B52" s="1">
        <v>222.66</v>
      </c>
      <c r="C52">
        <f t="shared" si="0"/>
        <v>26.342975206611452</v>
      </c>
      <c r="D52">
        <f t="shared" si="1"/>
        <v>9.1154398960722798</v>
      </c>
    </row>
    <row r="53" spans="1:4" x14ac:dyDescent="0.2">
      <c r="A53" s="2">
        <v>45547</v>
      </c>
      <c r="B53" s="1">
        <v>222.77</v>
      </c>
      <c r="C53">
        <f t="shared" si="0"/>
        <v>27.479338842975231</v>
      </c>
      <c r="D53">
        <f t="shared" si="1"/>
        <v>17.940771349862228</v>
      </c>
    </row>
    <row r="54" spans="1:4" x14ac:dyDescent="0.2">
      <c r="A54" s="2">
        <v>45548</v>
      </c>
      <c r="B54" s="1">
        <v>222.5</v>
      </c>
      <c r="C54">
        <f t="shared" si="0"/>
        <v>24.690082644628013</v>
      </c>
      <c r="D54">
        <f t="shared" si="1"/>
        <v>26.170798898071563</v>
      </c>
    </row>
    <row r="55" spans="1:4" x14ac:dyDescent="0.2">
      <c r="A55" s="2">
        <v>45551</v>
      </c>
      <c r="B55" s="1">
        <v>216.32</v>
      </c>
      <c r="C55">
        <f t="shared" si="0"/>
        <v>0</v>
      </c>
      <c r="D55">
        <f t="shared" si="1"/>
        <v>17.389807162534414</v>
      </c>
    </row>
    <row r="56" spans="1:4" x14ac:dyDescent="0.2">
      <c r="A56" s="2">
        <v>45552</v>
      </c>
      <c r="B56" s="1">
        <v>216.79</v>
      </c>
      <c r="C56">
        <f t="shared" si="0"/>
        <v>3.4892353377876684</v>
      </c>
      <c r="D56">
        <f t="shared" si="1"/>
        <v>9.3931059941385602</v>
      </c>
    </row>
    <row r="57" spans="1:4" x14ac:dyDescent="0.2">
      <c r="A57" s="2">
        <v>45553</v>
      </c>
      <c r="B57" s="1">
        <v>220.69</v>
      </c>
      <c r="C57">
        <f t="shared" si="0"/>
        <v>32.442464736451413</v>
      </c>
      <c r="D57">
        <f t="shared" si="1"/>
        <v>11.977233358079694</v>
      </c>
    </row>
    <row r="58" spans="1:4" x14ac:dyDescent="0.2">
      <c r="A58" s="2">
        <v>45554</v>
      </c>
      <c r="B58" s="1">
        <v>228.87</v>
      </c>
      <c r="C58">
        <f t="shared" si="0"/>
        <v>98.974763406940099</v>
      </c>
      <c r="D58">
        <f t="shared" si="1"/>
        <v>44.968821160393055</v>
      </c>
    </row>
    <row r="59" spans="1:4" x14ac:dyDescent="0.2">
      <c r="A59" s="2">
        <v>45555</v>
      </c>
      <c r="B59" s="1">
        <v>228.2</v>
      </c>
      <c r="C59">
        <f t="shared" si="0"/>
        <v>94.66135458167318</v>
      </c>
      <c r="D59">
        <f t="shared" si="1"/>
        <v>75.359527575021573</v>
      </c>
    </row>
    <row r="60" spans="1:4" x14ac:dyDescent="0.2">
      <c r="A60" s="2">
        <v>45558</v>
      </c>
      <c r="B60" s="1">
        <v>226.47</v>
      </c>
      <c r="C60">
        <f t="shared" si="0"/>
        <v>80.876494023904357</v>
      </c>
      <c r="D60">
        <f t="shared" si="1"/>
        <v>91.50420400417255</v>
      </c>
    </row>
    <row r="61" spans="1:4" x14ac:dyDescent="0.2">
      <c r="A61" s="2">
        <v>45559</v>
      </c>
      <c r="B61" s="1">
        <v>227.37</v>
      </c>
      <c r="C61">
        <f t="shared" si="0"/>
        <v>88.047808764940243</v>
      </c>
      <c r="D61">
        <f t="shared" si="1"/>
        <v>87.861885790172593</v>
      </c>
    </row>
    <row r="62" spans="1:4" x14ac:dyDescent="0.2">
      <c r="A62" s="2">
        <v>45560</v>
      </c>
      <c r="B62" s="1">
        <v>226.37</v>
      </c>
      <c r="C62">
        <f t="shared" si="0"/>
        <v>80.079681274900423</v>
      </c>
      <c r="D62">
        <f t="shared" si="1"/>
        <v>83.001328021248341</v>
      </c>
    </row>
    <row r="63" spans="1:4" x14ac:dyDescent="0.2">
      <c r="A63" s="2">
        <v>45561</v>
      </c>
      <c r="B63" s="1">
        <v>227.52</v>
      </c>
      <c r="C63">
        <f t="shared" si="0"/>
        <v>89.243027888446264</v>
      </c>
      <c r="D63">
        <f t="shared" si="1"/>
        <v>85.7901726427623</v>
      </c>
    </row>
    <row r="64" spans="1:4" x14ac:dyDescent="0.2">
      <c r="A64" s="2">
        <v>45562</v>
      </c>
      <c r="B64" s="1">
        <v>227.79</v>
      </c>
      <c r="C64">
        <f t="shared" si="0"/>
        <v>91.39442231075688</v>
      </c>
      <c r="D64">
        <f t="shared" si="1"/>
        <v>86.905710491367856</v>
      </c>
    </row>
    <row r="65" spans="1:4" x14ac:dyDescent="0.2">
      <c r="A65" s="2">
        <v>45565</v>
      </c>
      <c r="B65" s="1">
        <v>233</v>
      </c>
      <c r="C65">
        <f t="shared" si="0"/>
        <v>100</v>
      </c>
      <c r="D65">
        <f t="shared" si="1"/>
        <v>93.545816733067724</v>
      </c>
    </row>
    <row r="66" spans="1:4" x14ac:dyDescent="0.2">
      <c r="A66" s="2">
        <v>45566</v>
      </c>
      <c r="B66" s="1">
        <v>226.21</v>
      </c>
      <c r="C66">
        <f t="shared" si="0"/>
        <v>59.292565947242274</v>
      </c>
      <c r="D66">
        <f t="shared" si="1"/>
        <v>83.562329419333054</v>
      </c>
    </row>
    <row r="67" spans="1:4" x14ac:dyDescent="0.2">
      <c r="A67" s="2">
        <v>45567</v>
      </c>
      <c r="B67" s="1">
        <v>226.78</v>
      </c>
      <c r="C67">
        <f t="shared" si="0"/>
        <v>62.70983213429259</v>
      </c>
      <c r="D67">
        <f t="shared" si="1"/>
        <v>74.000799360511621</v>
      </c>
    </row>
    <row r="68" spans="1:4" x14ac:dyDescent="0.2">
      <c r="A68" s="2">
        <v>45568</v>
      </c>
      <c r="B68" s="1">
        <v>225.67</v>
      </c>
      <c r="C68">
        <f t="shared" si="0"/>
        <v>56.055155875299704</v>
      </c>
      <c r="D68">
        <f t="shared" si="1"/>
        <v>59.35251798561152</v>
      </c>
    </row>
    <row r="69" spans="1:4" x14ac:dyDescent="0.2">
      <c r="A69" s="2">
        <v>45569</v>
      </c>
      <c r="B69" s="1">
        <v>226.8</v>
      </c>
      <c r="C69">
        <f t="shared" si="0"/>
        <v>61.752004935225258</v>
      </c>
      <c r="D69">
        <f t="shared" si="1"/>
        <v>60.172330981605853</v>
      </c>
    </row>
    <row r="70" spans="1:4" x14ac:dyDescent="0.2">
      <c r="A70" s="2">
        <v>45572</v>
      </c>
      <c r="B70" s="1">
        <v>221.69</v>
      </c>
      <c r="C70">
        <f t="shared" si="0"/>
        <v>8.1234768480909807</v>
      </c>
      <c r="D70">
        <f t="shared" si="1"/>
        <v>41.976879219538652</v>
      </c>
    </row>
    <row r="71" spans="1:4" x14ac:dyDescent="0.2">
      <c r="A71" s="2">
        <v>45573</v>
      </c>
      <c r="B71" s="1">
        <v>225.77</v>
      </c>
      <c r="C71">
        <f t="shared" si="0"/>
        <v>36.07427055702928</v>
      </c>
      <c r="D71">
        <f t="shared" si="1"/>
        <v>35.316584113448506</v>
      </c>
    </row>
    <row r="72" spans="1:4" x14ac:dyDescent="0.2">
      <c r="A72" s="2">
        <v>45574</v>
      </c>
      <c r="B72" s="1">
        <v>229.54</v>
      </c>
      <c r="C72">
        <f t="shared" si="0"/>
        <v>69.407603890362452</v>
      </c>
      <c r="D72">
        <f t="shared" si="1"/>
        <v>37.868450431827569</v>
      </c>
    </row>
    <row r="73" spans="1:4" x14ac:dyDescent="0.2">
      <c r="A73" s="2">
        <v>45575</v>
      </c>
      <c r="B73" s="1">
        <v>229.04</v>
      </c>
      <c r="C73">
        <f t="shared" si="0"/>
        <v>64.98673740053043</v>
      </c>
      <c r="D73">
        <f t="shared" si="1"/>
        <v>56.822870615974047</v>
      </c>
    </row>
    <row r="74" spans="1:4" x14ac:dyDescent="0.2">
      <c r="A74" s="2">
        <v>45576</v>
      </c>
      <c r="B74" s="1">
        <v>227.55</v>
      </c>
      <c r="C74">
        <f t="shared" si="0"/>
        <v>51.812555260831225</v>
      </c>
      <c r="D74">
        <f t="shared" si="1"/>
        <v>62.068965517241374</v>
      </c>
    </row>
    <row r="75" spans="1:4" x14ac:dyDescent="0.2">
      <c r="A75" s="2">
        <v>45579</v>
      </c>
      <c r="B75" s="1">
        <v>231.3</v>
      </c>
      <c r="C75">
        <f t="shared" si="0"/>
        <v>84.969053934571278</v>
      </c>
      <c r="D75">
        <f t="shared" si="1"/>
        <v>67.256115531977642</v>
      </c>
    </row>
    <row r="76" spans="1:4" x14ac:dyDescent="0.2">
      <c r="A76" s="2">
        <v>45580</v>
      </c>
      <c r="B76" s="1">
        <v>233.85</v>
      </c>
      <c r="C76">
        <f t="shared" si="0"/>
        <v>100</v>
      </c>
      <c r="D76">
        <f t="shared" si="1"/>
        <v>78.927203065134165</v>
      </c>
    </row>
    <row r="77" spans="1:4" x14ac:dyDescent="0.2">
      <c r="A77" s="2">
        <v>45581</v>
      </c>
      <c r="B77" s="1">
        <v>231.78</v>
      </c>
      <c r="C77">
        <f t="shared" si="0"/>
        <v>82.976973684210577</v>
      </c>
      <c r="D77">
        <f t="shared" si="1"/>
        <v>89.315342539593942</v>
      </c>
    </row>
    <row r="78" spans="1:4" x14ac:dyDescent="0.2">
      <c r="A78" s="2">
        <v>45582</v>
      </c>
      <c r="B78" s="1">
        <v>232.15</v>
      </c>
      <c r="C78">
        <f t="shared" si="0"/>
        <v>86.01973684210536</v>
      </c>
      <c r="D78">
        <f t="shared" si="1"/>
        <v>89.665570175438646</v>
      </c>
    </row>
    <row r="79" spans="1:4" x14ac:dyDescent="0.2">
      <c r="A79" s="2">
        <v>45583</v>
      </c>
      <c r="B79" s="1">
        <v>235</v>
      </c>
      <c r="C79">
        <f t="shared" si="0"/>
        <v>100</v>
      </c>
      <c r="D79">
        <f t="shared" si="1"/>
        <v>89.665570175438646</v>
      </c>
    </row>
    <row r="80" spans="1:4" x14ac:dyDescent="0.2">
      <c r="A80" s="2">
        <v>45586</v>
      </c>
      <c r="B80" s="1">
        <v>236.48</v>
      </c>
      <c r="C80">
        <f t="shared" ref="C80:C143" si="2">(B80-MIN(B67:B80)) /(MAX(B67:B80)-MIN(B67:B80))*100</f>
        <v>100</v>
      </c>
      <c r="D80">
        <f t="shared" si="1"/>
        <v>95.339912280701796</v>
      </c>
    </row>
    <row r="81" spans="1:4" x14ac:dyDescent="0.2">
      <c r="A81" s="2">
        <v>45587</v>
      </c>
      <c r="B81" s="1">
        <v>235.86</v>
      </c>
      <c r="C81">
        <f t="shared" si="2"/>
        <v>95.80797836375946</v>
      </c>
      <c r="D81">
        <f t="shared" si="1"/>
        <v>98.602659454586487</v>
      </c>
    </row>
    <row r="82" spans="1:4" x14ac:dyDescent="0.2">
      <c r="A82" s="2">
        <v>45588</v>
      </c>
      <c r="B82" s="1">
        <v>230.76</v>
      </c>
      <c r="C82">
        <f t="shared" si="2"/>
        <v>61.325219743069624</v>
      </c>
      <c r="D82">
        <f t="shared" ref="D82:D145" si="3">AVERAGE(C80:C82)</f>
        <v>85.71106603560969</v>
      </c>
    </row>
    <row r="83" spans="1:4" x14ac:dyDescent="0.2">
      <c r="A83" s="2">
        <v>45589</v>
      </c>
      <c r="B83" s="1">
        <v>230.57</v>
      </c>
      <c r="C83">
        <f t="shared" si="2"/>
        <v>60.040567951318458</v>
      </c>
      <c r="D83">
        <f t="shared" si="3"/>
        <v>72.391255352715845</v>
      </c>
    </row>
    <row r="84" spans="1:4" x14ac:dyDescent="0.2">
      <c r="A84" s="2">
        <v>45590</v>
      </c>
      <c r="B84" s="1">
        <v>231.41</v>
      </c>
      <c r="C84">
        <f t="shared" si="2"/>
        <v>52.661064425770277</v>
      </c>
      <c r="D84">
        <f t="shared" si="3"/>
        <v>58.008950706719453</v>
      </c>
    </row>
    <row r="85" spans="1:4" x14ac:dyDescent="0.2">
      <c r="A85" s="2">
        <v>45593</v>
      </c>
      <c r="B85" s="1">
        <v>233.4</v>
      </c>
      <c r="C85">
        <f t="shared" si="2"/>
        <v>65.50951847704377</v>
      </c>
      <c r="D85">
        <f t="shared" si="3"/>
        <v>59.403716951377504</v>
      </c>
    </row>
    <row r="86" spans="1:4" x14ac:dyDescent="0.2">
      <c r="A86" s="2">
        <v>45594</v>
      </c>
      <c r="B86" s="1">
        <v>233.67</v>
      </c>
      <c r="C86">
        <f t="shared" si="2"/>
        <v>68.533034714445591</v>
      </c>
      <c r="D86">
        <f t="shared" si="3"/>
        <v>62.234539205753208</v>
      </c>
    </row>
    <row r="87" spans="1:4" x14ac:dyDescent="0.2">
      <c r="A87" s="2">
        <v>45595</v>
      </c>
      <c r="B87" s="1">
        <v>230.1</v>
      </c>
      <c r="C87">
        <f t="shared" si="2"/>
        <v>28.555431131018917</v>
      </c>
      <c r="D87">
        <f t="shared" si="3"/>
        <v>54.199328107502758</v>
      </c>
    </row>
    <row r="88" spans="1:4" x14ac:dyDescent="0.2">
      <c r="A88" s="2">
        <v>45596</v>
      </c>
      <c r="B88" s="1">
        <v>225.91</v>
      </c>
      <c r="C88">
        <f t="shared" si="2"/>
        <v>0</v>
      </c>
      <c r="D88">
        <f t="shared" si="3"/>
        <v>32.362821948488168</v>
      </c>
    </row>
    <row r="89" spans="1:4" x14ac:dyDescent="0.2">
      <c r="A89" s="2">
        <v>45597</v>
      </c>
      <c r="B89" s="1">
        <v>222.91</v>
      </c>
      <c r="C89">
        <f t="shared" si="2"/>
        <v>0</v>
      </c>
      <c r="D89">
        <f t="shared" si="3"/>
        <v>9.5184770436729718</v>
      </c>
    </row>
    <row r="90" spans="1:4" x14ac:dyDescent="0.2">
      <c r="A90" s="2">
        <v>45600</v>
      </c>
      <c r="B90" s="1">
        <v>222.01</v>
      </c>
      <c r="C90">
        <f t="shared" si="2"/>
        <v>0</v>
      </c>
      <c r="D90">
        <f t="shared" si="3"/>
        <v>0</v>
      </c>
    </row>
    <row r="91" spans="1:4" x14ac:dyDescent="0.2">
      <c r="A91" s="2">
        <v>45601</v>
      </c>
      <c r="B91" s="1">
        <v>223.45</v>
      </c>
      <c r="C91">
        <f t="shared" si="2"/>
        <v>9.9516240497581059</v>
      </c>
      <c r="D91">
        <f t="shared" si="3"/>
        <v>3.3172080165860351</v>
      </c>
    </row>
    <row r="92" spans="1:4" x14ac:dyDescent="0.2">
      <c r="A92" s="2">
        <v>45602</v>
      </c>
      <c r="B92" s="1">
        <v>222.72</v>
      </c>
      <c r="C92">
        <f t="shared" si="2"/>
        <v>4.9067035245335733</v>
      </c>
      <c r="D92">
        <f t="shared" si="3"/>
        <v>4.9527758580972261</v>
      </c>
    </row>
    <row r="93" spans="1:4" x14ac:dyDescent="0.2">
      <c r="A93" s="2">
        <v>45603</v>
      </c>
      <c r="B93" s="1">
        <v>227.48</v>
      </c>
      <c r="C93">
        <f t="shared" si="2"/>
        <v>37.802349689011741</v>
      </c>
      <c r="D93">
        <f t="shared" si="3"/>
        <v>17.553559087767805</v>
      </c>
    </row>
    <row r="94" spans="1:4" x14ac:dyDescent="0.2">
      <c r="A94" s="2">
        <v>45604</v>
      </c>
      <c r="B94" s="1">
        <v>226.96</v>
      </c>
      <c r="C94">
        <f t="shared" si="2"/>
        <v>35.740072202166132</v>
      </c>
      <c r="D94">
        <f t="shared" si="3"/>
        <v>26.149708471903818</v>
      </c>
    </row>
    <row r="95" spans="1:4" x14ac:dyDescent="0.2">
      <c r="A95" s="2">
        <v>45607</v>
      </c>
      <c r="B95" s="1">
        <v>224.23</v>
      </c>
      <c r="C95">
        <f t="shared" si="2"/>
        <v>19.039451114922809</v>
      </c>
      <c r="D95">
        <f t="shared" si="3"/>
        <v>30.860624335366893</v>
      </c>
    </row>
    <row r="96" spans="1:4" x14ac:dyDescent="0.2">
      <c r="A96" s="2">
        <v>45608</v>
      </c>
      <c r="B96" s="1">
        <v>224.23</v>
      </c>
      <c r="C96">
        <f t="shared" si="2"/>
        <v>19.039451114922809</v>
      </c>
      <c r="D96">
        <f t="shared" si="3"/>
        <v>24.606324810670586</v>
      </c>
    </row>
    <row r="97" spans="1:4" x14ac:dyDescent="0.2">
      <c r="A97" s="2">
        <v>45609</v>
      </c>
      <c r="B97" s="1">
        <v>225.12</v>
      </c>
      <c r="C97">
        <f t="shared" si="2"/>
        <v>26.672384219554157</v>
      </c>
      <c r="D97">
        <f t="shared" si="3"/>
        <v>21.583762149799924</v>
      </c>
    </row>
    <row r="98" spans="1:4" x14ac:dyDescent="0.2">
      <c r="A98" s="2">
        <v>45610</v>
      </c>
      <c r="B98" s="1">
        <v>228.22</v>
      </c>
      <c r="C98">
        <f t="shared" si="2"/>
        <v>53.25900514579768</v>
      </c>
      <c r="D98">
        <f t="shared" si="3"/>
        <v>32.990280160091551</v>
      </c>
    </row>
    <row r="99" spans="1:4" x14ac:dyDescent="0.2">
      <c r="A99" s="2">
        <v>45611</v>
      </c>
      <c r="B99" s="1">
        <v>225</v>
      </c>
      <c r="C99">
        <f t="shared" si="2"/>
        <v>25.643224699828558</v>
      </c>
      <c r="D99">
        <f t="shared" si="3"/>
        <v>35.191538021726792</v>
      </c>
    </row>
    <row r="100" spans="1:4" x14ac:dyDescent="0.2">
      <c r="A100" s="2">
        <v>45614</v>
      </c>
      <c r="B100" s="1">
        <v>228.02</v>
      </c>
      <c r="C100">
        <f t="shared" si="2"/>
        <v>74.289245982694894</v>
      </c>
      <c r="D100">
        <f t="shared" si="3"/>
        <v>51.063825276107046</v>
      </c>
    </row>
    <row r="101" spans="1:4" x14ac:dyDescent="0.2">
      <c r="A101" s="2">
        <v>45615</v>
      </c>
      <c r="B101" s="1">
        <v>228.28</v>
      </c>
      <c r="C101">
        <f t="shared" si="2"/>
        <v>100</v>
      </c>
      <c r="D101">
        <f t="shared" si="3"/>
        <v>66.644156894174486</v>
      </c>
    </row>
    <row r="102" spans="1:4" x14ac:dyDescent="0.2">
      <c r="A102" s="2">
        <v>45616</v>
      </c>
      <c r="B102" s="1">
        <v>229</v>
      </c>
      <c r="C102">
        <f t="shared" si="2"/>
        <v>100</v>
      </c>
      <c r="D102">
        <f t="shared" si="3"/>
        <v>91.429748660898284</v>
      </c>
    </row>
    <row r="103" spans="1:4" x14ac:dyDescent="0.2">
      <c r="A103" s="2">
        <v>45617</v>
      </c>
      <c r="B103" s="1">
        <v>228.52</v>
      </c>
      <c r="C103">
        <f t="shared" si="2"/>
        <v>93.133047210300575</v>
      </c>
      <c r="D103">
        <f t="shared" si="3"/>
        <v>97.711015736766853</v>
      </c>
    </row>
    <row r="104" spans="1:4" x14ac:dyDescent="0.2">
      <c r="A104" s="2">
        <v>45618</v>
      </c>
      <c r="B104" s="1">
        <v>229.87</v>
      </c>
      <c r="C104">
        <f t="shared" si="2"/>
        <v>100</v>
      </c>
      <c r="D104">
        <f t="shared" si="3"/>
        <v>97.711015736766853</v>
      </c>
    </row>
    <row r="105" spans="1:4" x14ac:dyDescent="0.2">
      <c r="A105" s="2">
        <v>45621</v>
      </c>
      <c r="B105" s="1">
        <v>232.87</v>
      </c>
      <c r="C105">
        <f t="shared" si="2"/>
        <v>100</v>
      </c>
      <c r="D105">
        <f t="shared" si="3"/>
        <v>97.711015736766853</v>
      </c>
    </row>
    <row r="106" spans="1:4" x14ac:dyDescent="0.2">
      <c r="A106" s="2">
        <v>45622</v>
      </c>
      <c r="B106" s="1">
        <v>235.06</v>
      </c>
      <c r="C106">
        <f t="shared" si="2"/>
        <v>100</v>
      </c>
      <c r="D106">
        <f t="shared" si="3"/>
        <v>100</v>
      </c>
    </row>
    <row r="107" spans="1:4" x14ac:dyDescent="0.2">
      <c r="A107" s="2">
        <v>45623</v>
      </c>
      <c r="B107" s="1">
        <v>234.93</v>
      </c>
      <c r="C107">
        <f t="shared" si="2"/>
        <v>98.799630655586384</v>
      </c>
      <c r="D107">
        <f t="shared" si="3"/>
        <v>99.599876885195457</v>
      </c>
    </row>
    <row r="108" spans="1:4" x14ac:dyDescent="0.2">
      <c r="A108" s="2">
        <v>45625</v>
      </c>
      <c r="B108" s="1">
        <v>237.33</v>
      </c>
      <c r="C108">
        <f t="shared" si="2"/>
        <v>100</v>
      </c>
      <c r="D108">
        <f t="shared" si="3"/>
        <v>99.599876885195457</v>
      </c>
    </row>
    <row r="109" spans="1:4" x14ac:dyDescent="0.2">
      <c r="A109" s="2">
        <v>45628</v>
      </c>
      <c r="B109" s="1">
        <v>239.59</v>
      </c>
      <c r="C109">
        <f t="shared" si="2"/>
        <v>100</v>
      </c>
      <c r="D109">
        <f t="shared" si="3"/>
        <v>99.599876885195457</v>
      </c>
    </row>
    <row r="110" spans="1:4" x14ac:dyDescent="0.2">
      <c r="A110" s="2">
        <v>45629</v>
      </c>
      <c r="B110" s="1">
        <v>242.65</v>
      </c>
      <c r="C110">
        <f t="shared" si="2"/>
        <v>100</v>
      </c>
      <c r="D110">
        <f t="shared" si="3"/>
        <v>100</v>
      </c>
    </row>
    <row r="111" spans="1:4" x14ac:dyDescent="0.2">
      <c r="A111" s="2">
        <v>45630</v>
      </c>
      <c r="B111" s="1">
        <v>243.01</v>
      </c>
      <c r="C111">
        <f t="shared" si="2"/>
        <v>100</v>
      </c>
      <c r="D111">
        <f t="shared" si="3"/>
        <v>100</v>
      </c>
    </row>
    <row r="112" spans="1:4" x14ac:dyDescent="0.2">
      <c r="A112" s="2">
        <v>45631</v>
      </c>
      <c r="B112" s="1">
        <v>243.04</v>
      </c>
      <c r="C112">
        <f t="shared" si="2"/>
        <v>100</v>
      </c>
      <c r="D112">
        <f t="shared" si="3"/>
        <v>100</v>
      </c>
    </row>
    <row r="113" spans="1:4" x14ac:dyDescent="0.2">
      <c r="A113" s="2">
        <v>45632</v>
      </c>
      <c r="B113" s="1">
        <v>242.84</v>
      </c>
      <c r="C113">
        <f t="shared" si="2"/>
        <v>98.668442077230438</v>
      </c>
      <c r="D113">
        <f t="shared" si="3"/>
        <v>99.556147359076817</v>
      </c>
    </row>
    <row r="114" spans="1:4" x14ac:dyDescent="0.2">
      <c r="A114" s="2">
        <v>45635</v>
      </c>
      <c r="B114" s="1">
        <v>246.75</v>
      </c>
      <c r="C114">
        <f t="shared" si="2"/>
        <v>100</v>
      </c>
      <c r="D114">
        <f t="shared" si="3"/>
        <v>99.556147359076817</v>
      </c>
    </row>
    <row r="115" spans="1:4" x14ac:dyDescent="0.2">
      <c r="A115" s="2">
        <v>45636</v>
      </c>
      <c r="B115" s="1">
        <v>247.77</v>
      </c>
      <c r="C115">
        <f t="shared" si="2"/>
        <v>100</v>
      </c>
      <c r="D115">
        <f t="shared" si="3"/>
        <v>99.556147359076817</v>
      </c>
    </row>
    <row r="116" spans="1:4" x14ac:dyDescent="0.2">
      <c r="A116" s="2">
        <v>45637</v>
      </c>
      <c r="B116" s="1">
        <v>246.49</v>
      </c>
      <c r="C116">
        <f t="shared" si="2"/>
        <v>93.350649350649334</v>
      </c>
      <c r="D116">
        <f t="shared" si="3"/>
        <v>97.783549783549788</v>
      </c>
    </row>
    <row r="117" spans="1:4" x14ac:dyDescent="0.2">
      <c r="A117" s="2">
        <v>45638</v>
      </c>
      <c r="B117" s="1">
        <v>247.96</v>
      </c>
      <c r="C117">
        <f t="shared" si="2"/>
        <v>100</v>
      </c>
      <c r="D117">
        <f t="shared" si="3"/>
        <v>97.783549783549788</v>
      </c>
    </row>
    <row r="118" spans="1:4" x14ac:dyDescent="0.2">
      <c r="A118" s="2">
        <v>45639</v>
      </c>
      <c r="B118" s="1">
        <v>248.13</v>
      </c>
      <c r="C118">
        <f t="shared" si="2"/>
        <v>100</v>
      </c>
      <c r="D118">
        <f t="shared" si="3"/>
        <v>97.783549783549788</v>
      </c>
    </row>
    <row r="119" spans="1:4" x14ac:dyDescent="0.2">
      <c r="A119" s="2">
        <v>45642</v>
      </c>
      <c r="B119" s="1">
        <v>251.04</v>
      </c>
      <c r="C119">
        <f t="shared" si="2"/>
        <v>100</v>
      </c>
      <c r="D119">
        <f t="shared" si="3"/>
        <v>100</v>
      </c>
    </row>
    <row r="120" spans="1:4" x14ac:dyDescent="0.2">
      <c r="A120" s="2">
        <v>45643</v>
      </c>
      <c r="B120" s="1">
        <v>253.48</v>
      </c>
      <c r="C120">
        <f t="shared" si="2"/>
        <v>100</v>
      </c>
      <c r="D120">
        <f t="shared" si="3"/>
        <v>100</v>
      </c>
    </row>
    <row r="121" spans="1:4" x14ac:dyDescent="0.2">
      <c r="A121" s="2">
        <v>45644</v>
      </c>
      <c r="B121" s="1">
        <v>248.05</v>
      </c>
      <c r="C121">
        <f t="shared" si="2"/>
        <v>66.377708978328258</v>
      </c>
      <c r="D121">
        <f t="shared" si="3"/>
        <v>88.792569659442748</v>
      </c>
    </row>
    <row r="122" spans="1:4" x14ac:dyDescent="0.2">
      <c r="A122" s="2">
        <v>45645</v>
      </c>
      <c r="B122" s="1">
        <v>249.79</v>
      </c>
      <c r="C122">
        <f t="shared" si="2"/>
        <v>73.434125269978395</v>
      </c>
      <c r="D122">
        <f t="shared" si="3"/>
        <v>79.937278082768884</v>
      </c>
    </row>
    <row r="123" spans="1:4" x14ac:dyDescent="0.2">
      <c r="A123" s="2">
        <v>45646</v>
      </c>
      <c r="B123" s="1">
        <v>254.49</v>
      </c>
      <c r="C123">
        <f t="shared" si="2"/>
        <v>100</v>
      </c>
      <c r="D123">
        <f t="shared" si="3"/>
        <v>79.937278082768884</v>
      </c>
    </row>
    <row r="124" spans="1:4" x14ac:dyDescent="0.2">
      <c r="A124" s="2">
        <v>45649</v>
      </c>
      <c r="B124" s="1">
        <v>255.27</v>
      </c>
      <c r="C124">
        <f t="shared" si="2"/>
        <v>100</v>
      </c>
      <c r="D124">
        <f t="shared" si="3"/>
        <v>91.144708423326122</v>
      </c>
    </row>
    <row r="125" spans="1:4" x14ac:dyDescent="0.2">
      <c r="A125" s="2">
        <v>45650</v>
      </c>
      <c r="B125" s="1">
        <v>258.2</v>
      </c>
      <c r="C125">
        <f t="shared" si="2"/>
        <v>100</v>
      </c>
      <c r="D125">
        <f t="shared" si="3"/>
        <v>100</v>
      </c>
    </row>
    <row r="126" spans="1:4" x14ac:dyDescent="0.2">
      <c r="A126" s="2">
        <v>45652</v>
      </c>
      <c r="B126" s="1">
        <v>259.02</v>
      </c>
      <c r="C126">
        <f t="shared" si="2"/>
        <v>100</v>
      </c>
      <c r="D126">
        <f t="shared" si="3"/>
        <v>100</v>
      </c>
    </row>
    <row r="127" spans="1:4" x14ac:dyDescent="0.2">
      <c r="A127" s="2">
        <v>45653</v>
      </c>
      <c r="B127" s="1">
        <v>255.59</v>
      </c>
      <c r="C127">
        <f t="shared" si="2"/>
        <v>72.625698324022466</v>
      </c>
      <c r="D127">
        <f t="shared" si="3"/>
        <v>90.875232774674146</v>
      </c>
    </row>
    <row r="128" spans="1:4" x14ac:dyDescent="0.2">
      <c r="A128" s="2">
        <v>45656</v>
      </c>
      <c r="B128" s="1">
        <v>252.2</v>
      </c>
      <c r="C128">
        <f t="shared" si="2"/>
        <v>45.57063048683154</v>
      </c>
      <c r="D128">
        <f t="shared" si="3"/>
        <v>72.732109603617999</v>
      </c>
    </row>
    <row r="129" spans="1:4" x14ac:dyDescent="0.2">
      <c r="A129" s="2">
        <v>45657</v>
      </c>
      <c r="B129" s="1">
        <v>250.42</v>
      </c>
      <c r="C129">
        <f t="shared" si="2"/>
        <v>31.364724660813941</v>
      </c>
      <c r="D129">
        <f t="shared" si="3"/>
        <v>49.853684490555985</v>
      </c>
    </row>
    <row r="130" spans="1:4" x14ac:dyDescent="0.2">
      <c r="A130" s="2">
        <v>45659</v>
      </c>
      <c r="B130" s="1">
        <v>243.85</v>
      </c>
      <c r="C130">
        <f t="shared" si="2"/>
        <v>0</v>
      </c>
      <c r="D130">
        <f t="shared" si="3"/>
        <v>25.645118382548493</v>
      </c>
    </row>
    <row r="131" spans="1:4" x14ac:dyDescent="0.2">
      <c r="A131" s="2">
        <v>45660</v>
      </c>
      <c r="B131" s="1">
        <v>243.36</v>
      </c>
      <c r="C131">
        <f t="shared" si="2"/>
        <v>0</v>
      </c>
      <c r="D131">
        <f t="shared" si="3"/>
        <v>10.454908220271314</v>
      </c>
    </row>
    <row r="132" spans="1:4" x14ac:dyDescent="0.2">
      <c r="A132" s="2">
        <v>45663</v>
      </c>
      <c r="B132" s="1">
        <v>245</v>
      </c>
      <c r="C132">
        <f t="shared" si="2"/>
        <v>10.4725415070242</v>
      </c>
      <c r="D132">
        <f t="shared" si="3"/>
        <v>3.4908471690080667</v>
      </c>
    </row>
    <row r="133" spans="1:4" x14ac:dyDescent="0.2">
      <c r="A133" s="2">
        <v>45664</v>
      </c>
      <c r="B133" s="1">
        <v>242.21</v>
      </c>
      <c r="C133">
        <f t="shared" si="2"/>
        <v>0</v>
      </c>
      <c r="D133">
        <f t="shared" si="3"/>
        <v>3.4908471690080667</v>
      </c>
    </row>
    <row r="134" spans="1:4" x14ac:dyDescent="0.2">
      <c r="A134" s="2">
        <v>45665</v>
      </c>
      <c r="B134" s="1">
        <v>242.7</v>
      </c>
      <c r="C134">
        <f t="shared" si="2"/>
        <v>2.914931588340163</v>
      </c>
      <c r="D134">
        <f t="shared" si="3"/>
        <v>4.4624910317881215</v>
      </c>
    </row>
    <row r="135" spans="1:4" x14ac:dyDescent="0.2">
      <c r="A135" s="2">
        <v>45667</v>
      </c>
      <c r="B135" s="1">
        <v>236.85</v>
      </c>
      <c r="C135">
        <f t="shared" si="2"/>
        <v>0</v>
      </c>
      <c r="D135">
        <f t="shared" si="3"/>
        <v>0.97164386278005432</v>
      </c>
    </row>
    <row r="136" spans="1:4" x14ac:dyDescent="0.2">
      <c r="A136" s="2">
        <v>45670</v>
      </c>
      <c r="B136" s="1">
        <v>234.4</v>
      </c>
      <c r="C136">
        <f t="shared" si="2"/>
        <v>0</v>
      </c>
      <c r="D136">
        <f t="shared" si="3"/>
        <v>0.97164386278005432</v>
      </c>
    </row>
    <row r="137" spans="1:4" x14ac:dyDescent="0.2">
      <c r="A137" s="2">
        <v>45671</v>
      </c>
      <c r="B137" s="1">
        <v>233.28</v>
      </c>
      <c r="C137">
        <f t="shared" si="2"/>
        <v>0</v>
      </c>
      <c r="D137">
        <f t="shared" si="3"/>
        <v>0</v>
      </c>
    </row>
    <row r="138" spans="1:4" x14ac:dyDescent="0.2">
      <c r="A138" s="2">
        <v>45672</v>
      </c>
      <c r="B138" s="1">
        <v>237.87</v>
      </c>
      <c r="C138">
        <f t="shared" si="2"/>
        <v>17.832167832167858</v>
      </c>
      <c r="D138">
        <f t="shared" si="3"/>
        <v>5.9440559440559531</v>
      </c>
    </row>
    <row r="139" spans="1:4" x14ac:dyDescent="0.2">
      <c r="A139" s="2">
        <v>45673</v>
      </c>
      <c r="B139" s="1">
        <v>228.26</v>
      </c>
      <c r="C139">
        <f t="shared" si="2"/>
        <v>0</v>
      </c>
      <c r="D139">
        <f t="shared" si="3"/>
        <v>5.9440559440559531</v>
      </c>
    </row>
    <row r="140" spans="1:4" x14ac:dyDescent="0.2">
      <c r="A140" s="2">
        <v>45674</v>
      </c>
      <c r="B140" s="1">
        <v>229.98</v>
      </c>
      <c r="C140">
        <f t="shared" si="2"/>
        <v>6.2934504207830155</v>
      </c>
      <c r="D140">
        <f t="shared" si="3"/>
        <v>8.0418727509836234</v>
      </c>
    </row>
    <row r="141" spans="1:4" x14ac:dyDescent="0.2">
      <c r="A141" s="2">
        <v>45678</v>
      </c>
      <c r="B141" s="1">
        <v>222.64</v>
      </c>
      <c r="C141">
        <f t="shared" si="2"/>
        <v>0</v>
      </c>
      <c r="D141">
        <f t="shared" si="3"/>
        <v>2.0978168069276717</v>
      </c>
    </row>
    <row r="142" spans="1:4" x14ac:dyDescent="0.2">
      <c r="A142" s="2">
        <v>45679</v>
      </c>
      <c r="B142" s="1">
        <v>223.83</v>
      </c>
      <c r="C142">
        <f t="shared" si="2"/>
        <v>4.2836573074155009</v>
      </c>
      <c r="D142">
        <f t="shared" si="3"/>
        <v>3.525702576066172</v>
      </c>
    </row>
    <row r="143" spans="1:4" x14ac:dyDescent="0.2">
      <c r="A143" s="2">
        <v>45680</v>
      </c>
      <c r="B143" s="1">
        <v>223.66</v>
      </c>
      <c r="C143">
        <f t="shared" si="2"/>
        <v>4.5617173524150703</v>
      </c>
      <c r="D143">
        <f t="shared" si="3"/>
        <v>2.9484582199435239</v>
      </c>
    </row>
    <row r="144" spans="1:4" x14ac:dyDescent="0.2">
      <c r="A144" s="2">
        <v>45681</v>
      </c>
      <c r="B144" s="1">
        <v>222.78</v>
      </c>
      <c r="C144">
        <f t="shared" ref="C144:C189" si="4">(B144-MIN(B131:B144)) /(MAX(B131:B144)-MIN(B131:B144))*100</f>
        <v>0.62611806797859881</v>
      </c>
      <c r="D144">
        <f t="shared" si="3"/>
        <v>3.1571642426030571</v>
      </c>
    </row>
    <row r="145" spans="1:4" x14ac:dyDescent="0.2">
      <c r="A145" s="2">
        <v>45684</v>
      </c>
      <c r="B145" s="1">
        <v>229.86</v>
      </c>
      <c r="C145">
        <f t="shared" si="4"/>
        <v>32.289803220035878</v>
      </c>
      <c r="D145">
        <f t="shared" si="3"/>
        <v>12.492546213476516</v>
      </c>
    </row>
    <row r="146" spans="1:4" x14ac:dyDescent="0.2">
      <c r="A146" s="2">
        <v>45685</v>
      </c>
      <c r="B146" s="1">
        <v>238.26</v>
      </c>
      <c r="C146">
        <f t="shared" si="4"/>
        <v>77.866400797607199</v>
      </c>
      <c r="D146">
        <f t="shared" ref="D146:D189" si="5">AVERAGE(C144:C146)</f>
        <v>36.927440695207224</v>
      </c>
    </row>
    <row r="147" spans="1:4" x14ac:dyDescent="0.2">
      <c r="A147" s="2">
        <v>45686</v>
      </c>
      <c r="B147" s="1">
        <v>239.36</v>
      </c>
      <c r="C147">
        <f t="shared" si="4"/>
        <v>83.349950149551475</v>
      </c>
      <c r="D147">
        <f t="shared" si="5"/>
        <v>64.502051389064846</v>
      </c>
    </row>
    <row r="148" spans="1:4" x14ac:dyDescent="0.2">
      <c r="A148" s="2">
        <v>45687</v>
      </c>
      <c r="B148" s="1">
        <v>237.59</v>
      </c>
      <c r="C148">
        <f t="shared" si="4"/>
        <v>89.413875598086079</v>
      </c>
      <c r="D148">
        <f t="shared" si="5"/>
        <v>83.543408848414913</v>
      </c>
    </row>
    <row r="149" spans="1:4" x14ac:dyDescent="0.2">
      <c r="A149" s="2">
        <v>45688</v>
      </c>
      <c r="B149" s="1">
        <v>236</v>
      </c>
      <c r="C149">
        <f t="shared" si="4"/>
        <v>79.904306220095648</v>
      </c>
      <c r="D149">
        <f t="shared" si="5"/>
        <v>84.222710655911058</v>
      </c>
    </row>
    <row r="150" spans="1:4" x14ac:dyDescent="0.2">
      <c r="A150" s="2">
        <v>45691</v>
      </c>
      <c r="B150" s="1">
        <v>228.01</v>
      </c>
      <c r="C150">
        <f t="shared" si="4"/>
        <v>32.11722488038275</v>
      </c>
      <c r="D150">
        <f t="shared" si="5"/>
        <v>67.145135566188159</v>
      </c>
    </row>
    <row r="151" spans="1:4" x14ac:dyDescent="0.2">
      <c r="A151" s="2">
        <v>45692</v>
      </c>
      <c r="B151" s="1">
        <v>232.8</v>
      </c>
      <c r="C151">
        <f t="shared" si="4"/>
        <v>60.7655502392345</v>
      </c>
      <c r="D151">
        <f t="shared" si="5"/>
        <v>57.595693779904302</v>
      </c>
    </row>
    <row r="152" spans="1:4" x14ac:dyDescent="0.2">
      <c r="A152" s="2">
        <v>45693</v>
      </c>
      <c r="B152" s="1">
        <v>232.47</v>
      </c>
      <c r="C152">
        <f t="shared" si="4"/>
        <v>58.791866028708114</v>
      </c>
      <c r="D152">
        <f t="shared" si="5"/>
        <v>50.558213716108447</v>
      </c>
    </row>
    <row r="153" spans="1:4" x14ac:dyDescent="0.2">
      <c r="A153" s="2">
        <v>45694</v>
      </c>
      <c r="B153" s="1">
        <v>233.22</v>
      </c>
      <c r="C153">
        <f t="shared" si="4"/>
        <v>63.277511961722453</v>
      </c>
      <c r="D153">
        <f t="shared" si="5"/>
        <v>60.944976076555029</v>
      </c>
    </row>
    <row r="154" spans="1:4" x14ac:dyDescent="0.2">
      <c r="A154" s="2">
        <v>45695</v>
      </c>
      <c r="B154" s="1">
        <v>227.63</v>
      </c>
      <c r="C154">
        <f t="shared" si="4"/>
        <v>29.844497607655505</v>
      </c>
      <c r="D154">
        <f t="shared" si="5"/>
        <v>50.637958532695357</v>
      </c>
    </row>
    <row r="155" spans="1:4" x14ac:dyDescent="0.2">
      <c r="A155" s="2">
        <v>45698</v>
      </c>
      <c r="B155" s="1">
        <v>227.65</v>
      </c>
      <c r="C155">
        <f t="shared" si="4"/>
        <v>29.372738238841983</v>
      </c>
      <c r="D155">
        <f t="shared" si="5"/>
        <v>40.831582602739978</v>
      </c>
    </row>
    <row r="156" spans="1:4" x14ac:dyDescent="0.2">
      <c r="A156" s="2">
        <v>45699</v>
      </c>
      <c r="B156" s="1">
        <v>232.62</v>
      </c>
      <c r="C156">
        <f t="shared" si="4"/>
        <v>59.348612786489717</v>
      </c>
      <c r="D156">
        <f t="shared" si="5"/>
        <v>39.521949544329068</v>
      </c>
    </row>
    <row r="157" spans="1:4" x14ac:dyDescent="0.2">
      <c r="A157" s="2">
        <v>45700</v>
      </c>
      <c r="B157" s="1">
        <v>236.87</v>
      </c>
      <c r="C157">
        <f t="shared" si="4"/>
        <v>84.981905910735776</v>
      </c>
      <c r="D157">
        <f t="shared" si="5"/>
        <v>57.901085645355828</v>
      </c>
    </row>
    <row r="158" spans="1:4" x14ac:dyDescent="0.2">
      <c r="A158" s="2">
        <v>45701</v>
      </c>
      <c r="B158" s="1">
        <v>241.53</v>
      </c>
      <c r="C158">
        <f t="shared" si="4"/>
        <v>100</v>
      </c>
      <c r="D158">
        <f t="shared" si="5"/>
        <v>81.443506232408495</v>
      </c>
    </row>
    <row r="159" spans="1:4" x14ac:dyDescent="0.2">
      <c r="A159" s="2">
        <v>45702</v>
      </c>
      <c r="B159" s="1">
        <v>244.6</v>
      </c>
      <c r="C159">
        <f t="shared" si="4"/>
        <v>100</v>
      </c>
      <c r="D159">
        <f t="shared" si="5"/>
        <v>94.99396863691193</v>
      </c>
    </row>
    <row r="160" spans="1:4" x14ac:dyDescent="0.2">
      <c r="A160" s="2">
        <v>45706</v>
      </c>
      <c r="B160" s="1">
        <v>244.47</v>
      </c>
      <c r="C160">
        <f t="shared" si="4"/>
        <v>99.233942251031266</v>
      </c>
      <c r="D160">
        <f t="shared" si="5"/>
        <v>99.744647417010427</v>
      </c>
    </row>
    <row r="161" spans="1:4" x14ac:dyDescent="0.2">
      <c r="A161" s="2">
        <v>45707</v>
      </c>
      <c r="B161" s="1">
        <v>244.87</v>
      </c>
      <c r="C161">
        <f t="shared" si="4"/>
        <v>100</v>
      </c>
      <c r="D161">
        <f t="shared" si="5"/>
        <v>99.744647417010427</v>
      </c>
    </row>
    <row r="162" spans="1:4" x14ac:dyDescent="0.2">
      <c r="A162" s="2">
        <v>45708</v>
      </c>
      <c r="B162" s="1">
        <v>245.83</v>
      </c>
      <c r="C162">
        <f t="shared" si="4"/>
        <v>100</v>
      </c>
      <c r="D162">
        <f t="shared" si="5"/>
        <v>99.744647417010427</v>
      </c>
    </row>
    <row r="163" spans="1:4" x14ac:dyDescent="0.2">
      <c r="A163" s="2">
        <v>45709</v>
      </c>
      <c r="B163" s="1">
        <v>245.55</v>
      </c>
      <c r="C163">
        <f t="shared" si="4"/>
        <v>98.461538461538453</v>
      </c>
      <c r="D163">
        <f t="shared" si="5"/>
        <v>99.487179487179489</v>
      </c>
    </row>
    <row r="164" spans="1:4" x14ac:dyDescent="0.2">
      <c r="A164" s="2">
        <v>45712</v>
      </c>
      <c r="B164" s="1">
        <v>247.1</v>
      </c>
      <c r="C164">
        <f t="shared" si="4"/>
        <v>100</v>
      </c>
      <c r="D164">
        <f t="shared" si="5"/>
        <v>99.487179487179489</v>
      </c>
    </row>
    <row r="165" spans="1:4" x14ac:dyDescent="0.2">
      <c r="A165" s="2">
        <v>45713</v>
      </c>
      <c r="B165" s="1">
        <v>247.04</v>
      </c>
      <c r="C165">
        <f t="shared" si="4"/>
        <v>99.691833590138671</v>
      </c>
      <c r="D165">
        <f t="shared" si="5"/>
        <v>99.384457350559046</v>
      </c>
    </row>
    <row r="166" spans="1:4" x14ac:dyDescent="0.2">
      <c r="A166" s="2">
        <v>45714</v>
      </c>
      <c r="B166" s="1">
        <v>240.36</v>
      </c>
      <c r="C166">
        <f t="shared" si="4"/>
        <v>65.382639958911241</v>
      </c>
      <c r="D166">
        <f t="shared" si="5"/>
        <v>88.358157849683309</v>
      </c>
    </row>
    <row r="167" spans="1:4" x14ac:dyDescent="0.2">
      <c r="A167" s="2">
        <v>45715</v>
      </c>
      <c r="B167" s="1">
        <v>237.3</v>
      </c>
      <c r="C167">
        <f t="shared" si="4"/>
        <v>49.666153055983649</v>
      </c>
      <c r="D167">
        <f t="shared" si="5"/>
        <v>71.580208868344513</v>
      </c>
    </row>
    <row r="168" spans="1:4" x14ac:dyDescent="0.2">
      <c r="A168" s="2">
        <v>45716</v>
      </c>
      <c r="B168" s="1">
        <v>241.84</v>
      </c>
      <c r="C168">
        <f t="shared" si="4"/>
        <v>72.956298200514169</v>
      </c>
      <c r="D168">
        <f t="shared" si="5"/>
        <v>62.668363738469687</v>
      </c>
    </row>
    <row r="169" spans="1:4" x14ac:dyDescent="0.2">
      <c r="A169" s="2">
        <v>45719</v>
      </c>
      <c r="B169" s="1">
        <v>238.03</v>
      </c>
      <c r="C169">
        <f t="shared" si="4"/>
        <v>37.361878453038678</v>
      </c>
      <c r="D169">
        <f t="shared" si="5"/>
        <v>53.328109903178834</v>
      </c>
    </row>
    <row r="170" spans="1:4" x14ac:dyDescent="0.2">
      <c r="A170" s="2">
        <v>45720</v>
      </c>
      <c r="B170" s="1">
        <v>235.93</v>
      </c>
      <c r="C170">
        <f t="shared" si="4"/>
        <v>0</v>
      </c>
      <c r="D170">
        <f t="shared" si="5"/>
        <v>36.772725551184287</v>
      </c>
    </row>
    <row r="171" spans="1:4" x14ac:dyDescent="0.2">
      <c r="A171" s="2">
        <v>45721</v>
      </c>
      <c r="B171" s="1">
        <v>235.74</v>
      </c>
      <c r="C171">
        <f t="shared" si="4"/>
        <v>0</v>
      </c>
      <c r="D171">
        <f t="shared" si="5"/>
        <v>12.453959484346226</v>
      </c>
    </row>
    <row r="172" spans="1:4" x14ac:dyDescent="0.2">
      <c r="A172" s="2">
        <v>45722</v>
      </c>
      <c r="B172" s="1">
        <v>235.33</v>
      </c>
      <c r="C172">
        <f t="shared" si="4"/>
        <v>0</v>
      </c>
      <c r="D172">
        <f t="shared" si="5"/>
        <v>0</v>
      </c>
    </row>
    <row r="173" spans="1:4" x14ac:dyDescent="0.2">
      <c r="A173" s="2">
        <v>45723</v>
      </c>
      <c r="B173" s="1">
        <v>239.07</v>
      </c>
      <c r="C173">
        <f t="shared" si="4"/>
        <v>31.775700934579326</v>
      </c>
      <c r="D173">
        <f t="shared" si="5"/>
        <v>10.591900311526443</v>
      </c>
    </row>
    <row r="174" spans="1:4" x14ac:dyDescent="0.2">
      <c r="A174" s="2">
        <v>45726</v>
      </c>
      <c r="B174" s="1">
        <v>227.48</v>
      </c>
      <c r="C174">
        <f t="shared" si="4"/>
        <v>0</v>
      </c>
      <c r="D174">
        <f t="shared" si="5"/>
        <v>10.591900311526443</v>
      </c>
    </row>
    <row r="175" spans="1:4" x14ac:dyDescent="0.2">
      <c r="A175" s="2">
        <v>45727</v>
      </c>
      <c r="B175" s="1">
        <v>220.84</v>
      </c>
      <c r="C175">
        <f t="shared" si="4"/>
        <v>0</v>
      </c>
      <c r="D175">
        <f t="shared" si="5"/>
        <v>10.591900311526443</v>
      </c>
    </row>
    <row r="176" spans="1:4" x14ac:dyDescent="0.2">
      <c r="A176" s="2">
        <v>45728</v>
      </c>
      <c r="B176" s="1">
        <v>216.98</v>
      </c>
      <c r="C176">
        <f t="shared" si="4"/>
        <v>0</v>
      </c>
      <c r="D176">
        <f t="shared" si="5"/>
        <v>0</v>
      </c>
    </row>
    <row r="177" spans="1:4" x14ac:dyDescent="0.2">
      <c r="A177" s="2">
        <v>45729</v>
      </c>
      <c r="B177" s="1">
        <v>209.68</v>
      </c>
      <c r="C177">
        <f t="shared" si="4"/>
        <v>0</v>
      </c>
      <c r="D177">
        <f t="shared" si="5"/>
        <v>0</v>
      </c>
    </row>
    <row r="178" spans="1:4" x14ac:dyDescent="0.2">
      <c r="A178" s="2">
        <v>45730</v>
      </c>
      <c r="B178" s="1">
        <v>213.49</v>
      </c>
      <c r="C178">
        <f t="shared" si="4"/>
        <v>10.198072805139196</v>
      </c>
      <c r="D178">
        <f t="shared" si="5"/>
        <v>3.3993576017130653</v>
      </c>
    </row>
    <row r="179" spans="1:4" x14ac:dyDescent="0.2">
      <c r="A179" s="2">
        <v>45733</v>
      </c>
      <c r="B179" s="1">
        <v>214</v>
      </c>
      <c r="C179">
        <f t="shared" si="4"/>
        <v>13.432835820895503</v>
      </c>
      <c r="D179">
        <f t="shared" si="5"/>
        <v>7.8769695420115662</v>
      </c>
    </row>
    <row r="180" spans="1:4" x14ac:dyDescent="0.2">
      <c r="A180" s="2">
        <v>45734</v>
      </c>
      <c r="B180" s="1">
        <v>212.69</v>
      </c>
      <c r="C180">
        <f t="shared" si="4"/>
        <v>9.3594527363183815</v>
      </c>
      <c r="D180">
        <f t="shared" si="5"/>
        <v>10.996787120784361</v>
      </c>
    </row>
    <row r="181" spans="1:4" x14ac:dyDescent="0.2">
      <c r="A181" s="2">
        <v>45735</v>
      </c>
      <c r="B181" s="1">
        <v>215.24</v>
      </c>
      <c r="C181">
        <f t="shared" si="4"/>
        <v>17.288557213930357</v>
      </c>
      <c r="D181">
        <f t="shared" si="5"/>
        <v>13.360281923714746</v>
      </c>
    </row>
    <row r="182" spans="1:4" x14ac:dyDescent="0.2">
      <c r="A182" s="2">
        <v>45736</v>
      </c>
      <c r="B182" s="1">
        <v>214.1</v>
      </c>
      <c r="C182">
        <f t="shared" si="4"/>
        <v>15.03912895542698</v>
      </c>
      <c r="D182">
        <f t="shared" si="5"/>
        <v>13.895712968558572</v>
      </c>
    </row>
    <row r="183" spans="1:4" x14ac:dyDescent="0.2">
      <c r="A183" s="2">
        <v>45737</v>
      </c>
      <c r="B183" s="1">
        <v>218.27</v>
      </c>
      <c r="C183">
        <f t="shared" si="4"/>
        <v>29.227628445049366</v>
      </c>
      <c r="D183">
        <f t="shared" si="5"/>
        <v>20.518438204802234</v>
      </c>
    </row>
    <row r="184" spans="1:4" x14ac:dyDescent="0.2">
      <c r="A184" s="2">
        <v>45740</v>
      </c>
      <c r="B184" s="1">
        <v>220.73</v>
      </c>
      <c r="C184">
        <f t="shared" si="4"/>
        <v>37.597822388567501</v>
      </c>
      <c r="D184">
        <f t="shared" si="5"/>
        <v>27.288193263014616</v>
      </c>
    </row>
    <row r="185" spans="1:4" x14ac:dyDescent="0.2">
      <c r="A185" s="2">
        <v>45741</v>
      </c>
      <c r="B185" s="1">
        <v>223.75</v>
      </c>
      <c r="C185">
        <f t="shared" si="4"/>
        <v>47.873426335488261</v>
      </c>
      <c r="D185">
        <f t="shared" si="5"/>
        <v>38.232959056368379</v>
      </c>
    </row>
    <row r="186" spans="1:4" x14ac:dyDescent="0.2">
      <c r="A186" s="2">
        <v>45742</v>
      </c>
      <c r="B186" s="1">
        <v>221.53</v>
      </c>
      <c r="C186">
        <f t="shared" si="4"/>
        <v>40.319836679142561</v>
      </c>
      <c r="D186">
        <f t="shared" si="5"/>
        <v>41.930361801066105</v>
      </c>
    </row>
    <row r="187" spans="1:4" x14ac:dyDescent="0.2">
      <c r="A187" s="2">
        <v>45743</v>
      </c>
      <c r="B187" s="1">
        <v>223.85</v>
      </c>
      <c r="C187">
        <f t="shared" si="4"/>
        <v>79.606741573033716</v>
      </c>
      <c r="D187">
        <f t="shared" si="5"/>
        <v>55.933334862554851</v>
      </c>
    </row>
    <row r="188" spans="1:4" x14ac:dyDescent="0.2">
      <c r="A188" s="2">
        <v>45744</v>
      </c>
      <c r="B188" s="1">
        <v>217.9</v>
      </c>
      <c r="C188">
        <f t="shared" si="4"/>
        <v>58.0098800282287</v>
      </c>
      <c r="D188">
        <f t="shared" si="5"/>
        <v>59.312152760135</v>
      </c>
    </row>
    <row r="189" spans="1:4" x14ac:dyDescent="0.2">
      <c r="A189" s="2">
        <v>45747</v>
      </c>
      <c r="B189" s="1">
        <v>222.13</v>
      </c>
      <c r="C189">
        <f t="shared" si="4"/>
        <v>87.861679604798866</v>
      </c>
      <c r="D189">
        <f t="shared" si="5"/>
        <v>75.159433735353758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2D4F-FB48-0449-B87E-12DBD2566992}">
  <dimension ref="A1:E11"/>
  <sheetViews>
    <sheetView workbookViewId="0">
      <selection activeCell="E1" sqref="E1"/>
    </sheetView>
  </sheetViews>
  <sheetFormatPr baseColWidth="10" defaultRowHeight="16" x14ac:dyDescent="0.2"/>
  <sheetData>
    <row r="1" spans="1:5" x14ac:dyDescent="0.2">
      <c r="A1" t="s">
        <v>38</v>
      </c>
      <c r="B1" s="10">
        <v>222.13</v>
      </c>
      <c r="D1" t="s">
        <v>42</v>
      </c>
      <c r="E1">
        <f>(LN(B1/B2)+(B3+0.5*B4^2)*B5)/(B4*SQRT(B5))</f>
        <v>0.42080279214084942</v>
      </c>
    </row>
    <row r="2" spans="1:5" x14ac:dyDescent="0.2">
      <c r="A2" t="s">
        <v>39</v>
      </c>
      <c r="B2" s="10">
        <v>215</v>
      </c>
      <c r="D2" t="s">
        <v>43</v>
      </c>
      <c r="E2">
        <f>(LN(B1/B2)+(B3-0.5*B4^2)*B5)/(B4*SQRT(B5))</f>
        <v>0.21650739938810029</v>
      </c>
    </row>
    <row r="3" spans="1:5" x14ac:dyDescent="0.2">
      <c r="A3" t="s">
        <v>19</v>
      </c>
      <c r="B3" s="4">
        <f>4.33%</f>
        <v>4.3299999999999998E-2</v>
      </c>
    </row>
    <row r="4" spans="1:5" x14ac:dyDescent="0.2">
      <c r="A4" t="s">
        <v>40</v>
      </c>
      <c r="B4" s="4">
        <f>23.59%</f>
        <v>0.2359</v>
      </c>
    </row>
    <row r="5" spans="1:5" x14ac:dyDescent="0.2">
      <c r="A5" t="s">
        <v>41</v>
      </c>
      <c r="B5">
        <v>0.75</v>
      </c>
    </row>
    <row r="7" spans="1:5" x14ac:dyDescent="0.2">
      <c r="A7" t="s">
        <v>44</v>
      </c>
      <c r="B7">
        <v>1</v>
      </c>
    </row>
    <row r="9" spans="1:5" x14ac:dyDescent="0.2">
      <c r="B9" s="9"/>
    </row>
    <row r="10" spans="1:5" x14ac:dyDescent="0.2">
      <c r="B10" s="9"/>
    </row>
    <row r="11" spans="1:5" x14ac:dyDescent="0.2">
      <c r="A11" t="s">
        <v>45</v>
      </c>
      <c r="B11">
        <f>B1*_xlfn.NORM.S.DIST(E1,1)-B2*EXP(-B3*B5)*_xlfn.NORM.S.DIST(E2,1)</f>
        <v>25.380833102027509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24FC4-A6E5-964C-8148-EDFE15B08A2D}">
  <dimension ref="A1:D109"/>
  <sheetViews>
    <sheetView tabSelected="1" workbookViewId="0">
      <selection activeCell="D9" activeCellId="2" sqref="B10:B109 C9:C109 D9:D10"/>
    </sheetView>
  </sheetViews>
  <sheetFormatPr baseColWidth="10" defaultRowHeight="16" x14ac:dyDescent="0.2"/>
  <sheetData>
    <row r="1" spans="1:4" x14ac:dyDescent="0.2">
      <c r="A1" t="s">
        <v>46</v>
      </c>
      <c r="B1">
        <v>222.13</v>
      </c>
    </row>
    <row r="2" spans="1:4" x14ac:dyDescent="0.2">
      <c r="A2" t="s">
        <v>64</v>
      </c>
      <c r="B2">
        <v>215</v>
      </c>
    </row>
    <row r="3" spans="1:4" x14ac:dyDescent="0.2">
      <c r="A3" t="s">
        <v>47</v>
      </c>
      <c r="B3" s="7">
        <v>3.3040542999999999E-2</v>
      </c>
    </row>
    <row r="4" spans="1:4" x14ac:dyDescent="0.2">
      <c r="A4" t="s">
        <v>48</v>
      </c>
      <c r="B4" s="8">
        <v>0.2358847</v>
      </c>
    </row>
    <row r="5" spans="1:4" x14ac:dyDescent="0.2">
      <c r="A5" t="s">
        <v>49</v>
      </c>
      <c r="B5">
        <v>0.75</v>
      </c>
    </row>
    <row r="9" spans="1:4" x14ac:dyDescent="0.2">
      <c r="C9" t="s">
        <v>65</v>
      </c>
      <c r="D9" t="s">
        <v>66</v>
      </c>
    </row>
    <row r="10" spans="1:4" x14ac:dyDescent="0.2">
      <c r="B10">
        <f ca="1">$B$1*EXP(($B$3-0.5*$B$4^2)*$B$5+$B$4*SQRT($B$5)*_xlfn.NORM.S.INV(RAND()))</f>
        <v>241.0050871824526</v>
      </c>
      <c r="C10">
        <f ca="1">MAX(B10-$B$2, 0)</f>
        <v>26.005087182452598</v>
      </c>
      <c r="D10">
        <f ca="1">EXP(-$B$3*$B$5)*AVERAGE(C10:C109)</f>
        <v>22.592174384998163</v>
      </c>
    </row>
    <row r="11" spans="1:4" x14ac:dyDescent="0.2">
      <c r="B11">
        <f t="shared" ref="B11:B74" ca="1" si="0">$B$1*EXP(($B$3-0.5*$B$4^2)*$B$5+$B$4*SQRT($B$5)*_xlfn.NORM.S.INV(RAND()))</f>
        <v>244.54273365982277</v>
      </c>
      <c r="C11">
        <f t="shared" ref="C11:C74" ca="1" si="1">MAX(B11-$B$2, 0)</f>
        <v>29.542733659822773</v>
      </c>
    </row>
    <row r="12" spans="1:4" x14ac:dyDescent="0.2">
      <c r="B12">
        <f t="shared" ca="1" si="0"/>
        <v>236.78478754746786</v>
      </c>
      <c r="C12">
        <f t="shared" ca="1" si="1"/>
        <v>21.784787547467857</v>
      </c>
    </row>
    <row r="13" spans="1:4" x14ac:dyDescent="0.2">
      <c r="B13">
        <f t="shared" ca="1" si="0"/>
        <v>192.67240895470104</v>
      </c>
      <c r="C13">
        <f t="shared" ca="1" si="1"/>
        <v>0</v>
      </c>
    </row>
    <row r="14" spans="1:4" x14ac:dyDescent="0.2">
      <c r="B14">
        <f t="shared" ca="1" si="0"/>
        <v>189.51733440131014</v>
      </c>
      <c r="C14">
        <f t="shared" ca="1" si="1"/>
        <v>0</v>
      </c>
    </row>
    <row r="15" spans="1:4" x14ac:dyDescent="0.2">
      <c r="B15">
        <f t="shared" ca="1" si="0"/>
        <v>179.59695875780093</v>
      </c>
      <c r="C15">
        <f t="shared" ca="1" si="1"/>
        <v>0</v>
      </c>
    </row>
    <row r="16" spans="1:4" x14ac:dyDescent="0.2">
      <c r="B16">
        <f t="shared" ca="1" si="0"/>
        <v>230.56978809450473</v>
      </c>
      <c r="C16">
        <f t="shared" ca="1" si="1"/>
        <v>15.56978809450473</v>
      </c>
    </row>
    <row r="17" spans="2:3" x14ac:dyDescent="0.2">
      <c r="B17">
        <f t="shared" ca="1" si="0"/>
        <v>301.22228131155617</v>
      </c>
      <c r="C17">
        <f t="shared" ca="1" si="1"/>
        <v>86.222281311556173</v>
      </c>
    </row>
    <row r="18" spans="2:3" x14ac:dyDescent="0.2">
      <c r="B18">
        <f t="shared" ca="1" si="0"/>
        <v>138.64562827447983</v>
      </c>
      <c r="C18">
        <f t="shared" ca="1" si="1"/>
        <v>0</v>
      </c>
    </row>
    <row r="19" spans="2:3" x14ac:dyDescent="0.2">
      <c r="B19">
        <f t="shared" ca="1" si="0"/>
        <v>226.41821902940231</v>
      </c>
      <c r="C19">
        <f t="shared" ca="1" si="1"/>
        <v>11.418219029402309</v>
      </c>
    </row>
    <row r="20" spans="2:3" x14ac:dyDescent="0.2">
      <c r="B20">
        <f t="shared" ca="1" si="0"/>
        <v>253.22529286267306</v>
      </c>
      <c r="C20">
        <f t="shared" ca="1" si="1"/>
        <v>38.225292862673058</v>
      </c>
    </row>
    <row r="21" spans="2:3" x14ac:dyDescent="0.2">
      <c r="B21">
        <f t="shared" ca="1" si="0"/>
        <v>227.96186069969394</v>
      </c>
      <c r="C21">
        <f t="shared" ca="1" si="1"/>
        <v>12.961860699693943</v>
      </c>
    </row>
    <row r="22" spans="2:3" x14ac:dyDescent="0.2">
      <c r="B22">
        <f t="shared" ca="1" si="0"/>
        <v>304.92356458884831</v>
      </c>
      <c r="C22">
        <f t="shared" ca="1" si="1"/>
        <v>89.923564588848308</v>
      </c>
    </row>
    <row r="23" spans="2:3" x14ac:dyDescent="0.2">
      <c r="B23">
        <f t="shared" ca="1" si="0"/>
        <v>253.57329539264023</v>
      </c>
      <c r="C23">
        <f t="shared" ca="1" si="1"/>
        <v>38.573295392640233</v>
      </c>
    </row>
    <row r="24" spans="2:3" x14ac:dyDescent="0.2">
      <c r="B24">
        <f t="shared" ca="1" si="0"/>
        <v>219.88057335454337</v>
      </c>
      <c r="C24">
        <f t="shared" ca="1" si="1"/>
        <v>4.8805733545433725</v>
      </c>
    </row>
    <row r="25" spans="2:3" x14ac:dyDescent="0.2">
      <c r="B25">
        <f t="shared" ca="1" si="0"/>
        <v>218.46161393943112</v>
      </c>
      <c r="C25">
        <f t="shared" ca="1" si="1"/>
        <v>3.4616139394311176</v>
      </c>
    </row>
    <row r="26" spans="2:3" x14ac:dyDescent="0.2">
      <c r="B26">
        <f t="shared" ca="1" si="0"/>
        <v>192.45184080039462</v>
      </c>
      <c r="C26">
        <f t="shared" ca="1" si="1"/>
        <v>0</v>
      </c>
    </row>
    <row r="27" spans="2:3" x14ac:dyDescent="0.2">
      <c r="B27">
        <f t="shared" ca="1" si="0"/>
        <v>198.3953362696316</v>
      </c>
      <c r="C27">
        <f t="shared" ca="1" si="1"/>
        <v>0</v>
      </c>
    </row>
    <row r="28" spans="2:3" x14ac:dyDescent="0.2">
      <c r="B28">
        <f t="shared" ca="1" si="0"/>
        <v>244.96689264263563</v>
      </c>
      <c r="C28">
        <f t="shared" ca="1" si="1"/>
        <v>29.966892642635628</v>
      </c>
    </row>
    <row r="29" spans="2:3" x14ac:dyDescent="0.2">
      <c r="B29">
        <f t="shared" ca="1" si="0"/>
        <v>201.01137466782839</v>
      </c>
      <c r="C29">
        <f t="shared" ca="1" si="1"/>
        <v>0</v>
      </c>
    </row>
    <row r="30" spans="2:3" x14ac:dyDescent="0.2">
      <c r="B30">
        <f t="shared" ca="1" si="0"/>
        <v>241.76737246971791</v>
      </c>
      <c r="C30">
        <f t="shared" ca="1" si="1"/>
        <v>26.767372469717913</v>
      </c>
    </row>
    <row r="31" spans="2:3" x14ac:dyDescent="0.2">
      <c r="B31">
        <f t="shared" ca="1" si="0"/>
        <v>212.13649363136037</v>
      </c>
      <c r="C31">
        <f t="shared" ca="1" si="1"/>
        <v>0</v>
      </c>
    </row>
    <row r="32" spans="2:3" x14ac:dyDescent="0.2">
      <c r="B32">
        <f t="shared" ca="1" si="0"/>
        <v>197.71098317710047</v>
      </c>
      <c r="C32">
        <f t="shared" ca="1" si="1"/>
        <v>0</v>
      </c>
    </row>
    <row r="33" spans="2:3" x14ac:dyDescent="0.2">
      <c r="B33">
        <f t="shared" ca="1" si="0"/>
        <v>255.28527505691352</v>
      </c>
      <c r="C33">
        <f t="shared" ca="1" si="1"/>
        <v>40.28527505691352</v>
      </c>
    </row>
    <row r="34" spans="2:3" x14ac:dyDescent="0.2">
      <c r="B34">
        <f t="shared" ca="1" si="0"/>
        <v>243.8981884263099</v>
      </c>
      <c r="C34">
        <f t="shared" ca="1" si="1"/>
        <v>28.8981884263099</v>
      </c>
    </row>
    <row r="35" spans="2:3" x14ac:dyDescent="0.2">
      <c r="B35">
        <f t="shared" ca="1" si="0"/>
        <v>201.56191274429554</v>
      </c>
      <c r="C35">
        <f t="shared" ca="1" si="1"/>
        <v>0</v>
      </c>
    </row>
    <row r="36" spans="2:3" x14ac:dyDescent="0.2">
      <c r="B36">
        <f t="shared" ca="1" si="0"/>
        <v>266.81994588510253</v>
      </c>
      <c r="C36">
        <f t="shared" ca="1" si="1"/>
        <v>51.819945885102527</v>
      </c>
    </row>
    <row r="37" spans="2:3" x14ac:dyDescent="0.2">
      <c r="B37">
        <f t="shared" ca="1" si="0"/>
        <v>251.98644976444317</v>
      </c>
      <c r="C37">
        <f t="shared" ca="1" si="1"/>
        <v>36.986449764443165</v>
      </c>
    </row>
    <row r="38" spans="2:3" x14ac:dyDescent="0.2">
      <c r="B38">
        <f t="shared" ca="1" si="0"/>
        <v>217.60870591132422</v>
      </c>
      <c r="C38">
        <f t="shared" ca="1" si="1"/>
        <v>2.6087059113242219</v>
      </c>
    </row>
    <row r="39" spans="2:3" x14ac:dyDescent="0.2">
      <c r="B39">
        <f t="shared" ca="1" si="0"/>
        <v>291.90760558123867</v>
      </c>
      <c r="C39">
        <f t="shared" ca="1" si="1"/>
        <v>76.90760558123867</v>
      </c>
    </row>
    <row r="40" spans="2:3" x14ac:dyDescent="0.2">
      <c r="B40">
        <f t="shared" ca="1" si="0"/>
        <v>147.02567063876148</v>
      </c>
      <c r="C40">
        <f t="shared" ca="1" si="1"/>
        <v>0</v>
      </c>
    </row>
    <row r="41" spans="2:3" x14ac:dyDescent="0.2">
      <c r="B41">
        <f t="shared" ca="1" si="0"/>
        <v>211.40435019886684</v>
      </c>
      <c r="C41">
        <f t="shared" ca="1" si="1"/>
        <v>0</v>
      </c>
    </row>
    <row r="42" spans="2:3" x14ac:dyDescent="0.2">
      <c r="B42">
        <f t="shared" ca="1" si="0"/>
        <v>196.43478835464552</v>
      </c>
      <c r="C42">
        <f t="shared" ca="1" si="1"/>
        <v>0</v>
      </c>
    </row>
    <row r="43" spans="2:3" x14ac:dyDescent="0.2">
      <c r="B43">
        <f t="shared" ca="1" si="0"/>
        <v>309.3912845897346</v>
      </c>
      <c r="C43">
        <f t="shared" ca="1" si="1"/>
        <v>94.391284589734596</v>
      </c>
    </row>
    <row r="44" spans="2:3" x14ac:dyDescent="0.2">
      <c r="B44">
        <f t="shared" ca="1" si="0"/>
        <v>303.7622935958405</v>
      </c>
      <c r="C44">
        <f t="shared" ca="1" si="1"/>
        <v>88.762293595840504</v>
      </c>
    </row>
    <row r="45" spans="2:3" x14ac:dyDescent="0.2">
      <c r="B45">
        <f t="shared" ca="1" si="0"/>
        <v>250.76045953750739</v>
      </c>
      <c r="C45">
        <f t="shared" ca="1" si="1"/>
        <v>35.760459537507387</v>
      </c>
    </row>
    <row r="46" spans="2:3" x14ac:dyDescent="0.2">
      <c r="B46">
        <f t="shared" ca="1" si="0"/>
        <v>279.36404595824996</v>
      </c>
      <c r="C46">
        <f t="shared" ca="1" si="1"/>
        <v>64.36404595824996</v>
      </c>
    </row>
    <row r="47" spans="2:3" x14ac:dyDescent="0.2">
      <c r="B47">
        <f t="shared" ca="1" si="0"/>
        <v>154.29786876880777</v>
      </c>
      <c r="C47">
        <f t="shared" ca="1" si="1"/>
        <v>0</v>
      </c>
    </row>
    <row r="48" spans="2:3" x14ac:dyDescent="0.2">
      <c r="B48">
        <f t="shared" ca="1" si="0"/>
        <v>236.97668786446081</v>
      </c>
      <c r="C48">
        <f t="shared" ca="1" si="1"/>
        <v>21.976687864460814</v>
      </c>
    </row>
    <row r="49" spans="2:3" x14ac:dyDescent="0.2">
      <c r="B49">
        <f t="shared" ca="1" si="0"/>
        <v>239.03193737328579</v>
      </c>
      <c r="C49">
        <f t="shared" ca="1" si="1"/>
        <v>24.031937373285785</v>
      </c>
    </row>
    <row r="50" spans="2:3" x14ac:dyDescent="0.2">
      <c r="B50">
        <f t="shared" ca="1" si="0"/>
        <v>216.435668484357</v>
      </c>
      <c r="C50">
        <f t="shared" ca="1" si="1"/>
        <v>1.4356684843569951</v>
      </c>
    </row>
    <row r="51" spans="2:3" x14ac:dyDescent="0.2">
      <c r="B51">
        <f t="shared" ca="1" si="0"/>
        <v>229.40461470102383</v>
      </c>
      <c r="C51">
        <f t="shared" ca="1" si="1"/>
        <v>14.404614701023831</v>
      </c>
    </row>
    <row r="52" spans="2:3" x14ac:dyDescent="0.2">
      <c r="B52">
        <f t="shared" ca="1" si="0"/>
        <v>253.21495634023566</v>
      </c>
      <c r="C52">
        <f t="shared" ca="1" si="1"/>
        <v>38.214956340235659</v>
      </c>
    </row>
    <row r="53" spans="2:3" x14ac:dyDescent="0.2">
      <c r="B53">
        <f t="shared" ca="1" si="0"/>
        <v>270.65108528705883</v>
      </c>
      <c r="C53">
        <f t="shared" ca="1" si="1"/>
        <v>55.651085287058834</v>
      </c>
    </row>
    <row r="54" spans="2:3" x14ac:dyDescent="0.2">
      <c r="B54">
        <f t="shared" ca="1" si="0"/>
        <v>280.87826652639018</v>
      </c>
      <c r="C54">
        <f t="shared" ca="1" si="1"/>
        <v>65.878266526390178</v>
      </c>
    </row>
    <row r="55" spans="2:3" x14ac:dyDescent="0.2">
      <c r="B55">
        <f t="shared" ca="1" si="0"/>
        <v>187.11527261725951</v>
      </c>
      <c r="C55">
        <f t="shared" ca="1" si="1"/>
        <v>0</v>
      </c>
    </row>
    <row r="56" spans="2:3" x14ac:dyDescent="0.2">
      <c r="B56">
        <f t="shared" ca="1" si="0"/>
        <v>220.51003240310777</v>
      </c>
      <c r="C56">
        <f t="shared" ca="1" si="1"/>
        <v>5.5100324031077719</v>
      </c>
    </row>
    <row r="57" spans="2:3" x14ac:dyDescent="0.2">
      <c r="B57">
        <f t="shared" ca="1" si="0"/>
        <v>236.20054633747128</v>
      </c>
      <c r="C57">
        <f t="shared" ca="1" si="1"/>
        <v>21.20054633747128</v>
      </c>
    </row>
    <row r="58" spans="2:3" x14ac:dyDescent="0.2">
      <c r="B58">
        <f t="shared" ca="1" si="0"/>
        <v>276.59578227242832</v>
      </c>
      <c r="C58">
        <f t="shared" ca="1" si="1"/>
        <v>61.595782272428323</v>
      </c>
    </row>
    <row r="59" spans="2:3" x14ac:dyDescent="0.2">
      <c r="B59">
        <f t="shared" ca="1" si="0"/>
        <v>276.4744000092835</v>
      </c>
      <c r="C59">
        <f t="shared" ca="1" si="1"/>
        <v>61.474400009283499</v>
      </c>
    </row>
    <row r="60" spans="2:3" x14ac:dyDescent="0.2">
      <c r="B60">
        <f t="shared" ca="1" si="0"/>
        <v>210.37003431864451</v>
      </c>
      <c r="C60">
        <f t="shared" ca="1" si="1"/>
        <v>0</v>
      </c>
    </row>
    <row r="61" spans="2:3" x14ac:dyDescent="0.2">
      <c r="B61">
        <f t="shared" ca="1" si="0"/>
        <v>194.73661775632925</v>
      </c>
      <c r="C61">
        <f t="shared" ca="1" si="1"/>
        <v>0</v>
      </c>
    </row>
    <row r="62" spans="2:3" x14ac:dyDescent="0.2">
      <c r="B62">
        <f t="shared" ca="1" si="0"/>
        <v>188.25276184947271</v>
      </c>
      <c r="C62">
        <f t="shared" ca="1" si="1"/>
        <v>0</v>
      </c>
    </row>
    <row r="63" spans="2:3" x14ac:dyDescent="0.2">
      <c r="B63">
        <f t="shared" ca="1" si="0"/>
        <v>249.65508136707413</v>
      </c>
      <c r="C63">
        <f t="shared" ca="1" si="1"/>
        <v>34.655081367074132</v>
      </c>
    </row>
    <row r="64" spans="2:3" x14ac:dyDescent="0.2">
      <c r="B64">
        <f t="shared" ca="1" si="0"/>
        <v>238.68249245145171</v>
      </c>
      <c r="C64">
        <f t="shared" ca="1" si="1"/>
        <v>23.682492451451708</v>
      </c>
    </row>
    <row r="65" spans="2:3" x14ac:dyDescent="0.2">
      <c r="B65">
        <f t="shared" ca="1" si="0"/>
        <v>167.43493708037249</v>
      </c>
      <c r="C65">
        <f t="shared" ca="1" si="1"/>
        <v>0</v>
      </c>
    </row>
    <row r="66" spans="2:3" x14ac:dyDescent="0.2">
      <c r="B66">
        <f t="shared" ca="1" si="0"/>
        <v>204.36022376031303</v>
      </c>
      <c r="C66">
        <f t="shared" ca="1" si="1"/>
        <v>0</v>
      </c>
    </row>
    <row r="67" spans="2:3" x14ac:dyDescent="0.2">
      <c r="B67">
        <f t="shared" ca="1" si="0"/>
        <v>187.65861188193753</v>
      </c>
      <c r="C67">
        <f t="shared" ca="1" si="1"/>
        <v>0</v>
      </c>
    </row>
    <row r="68" spans="2:3" x14ac:dyDescent="0.2">
      <c r="B68">
        <f t="shared" ca="1" si="0"/>
        <v>312.78148429906702</v>
      </c>
      <c r="C68">
        <f t="shared" ca="1" si="1"/>
        <v>97.781484299067017</v>
      </c>
    </row>
    <row r="69" spans="2:3" x14ac:dyDescent="0.2">
      <c r="B69">
        <f t="shared" ca="1" si="0"/>
        <v>182.52671894928767</v>
      </c>
      <c r="C69">
        <f t="shared" ca="1" si="1"/>
        <v>0</v>
      </c>
    </row>
    <row r="70" spans="2:3" x14ac:dyDescent="0.2">
      <c r="B70">
        <f t="shared" ca="1" si="0"/>
        <v>262.98569838199199</v>
      </c>
      <c r="C70">
        <f t="shared" ca="1" si="1"/>
        <v>47.985698381991995</v>
      </c>
    </row>
    <row r="71" spans="2:3" x14ac:dyDescent="0.2">
      <c r="B71">
        <f t="shared" ca="1" si="0"/>
        <v>288.76248034190013</v>
      </c>
      <c r="C71">
        <f t="shared" ca="1" si="1"/>
        <v>73.76248034190013</v>
      </c>
    </row>
    <row r="72" spans="2:3" x14ac:dyDescent="0.2">
      <c r="B72">
        <f t="shared" ca="1" si="0"/>
        <v>174.5399394835766</v>
      </c>
      <c r="C72">
        <f t="shared" ca="1" si="1"/>
        <v>0</v>
      </c>
    </row>
    <row r="73" spans="2:3" x14ac:dyDescent="0.2">
      <c r="B73">
        <f t="shared" ca="1" si="0"/>
        <v>241.46567525311238</v>
      </c>
      <c r="C73">
        <f t="shared" ca="1" si="1"/>
        <v>26.46567525311238</v>
      </c>
    </row>
    <row r="74" spans="2:3" x14ac:dyDescent="0.2">
      <c r="B74">
        <f t="shared" ca="1" si="0"/>
        <v>151.73523244889756</v>
      </c>
      <c r="C74">
        <f t="shared" ca="1" si="1"/>
        <v>0</v>
      </c>
    </row>
    <row r="75" spans="2:3" x14ac:dyDescent="0.2">
      <c r="B75">
        <f t="shared" ref="B75:B109" ca="1" si="2">$B$1*EXP(($B$3-0.5*$B$4^2)*$B$5+$B$4*SQRT($B$5)*_xlfn.NORM.S.INV(RAND()))</f>
        <v>206.19255879469537</v>
      </c>
      <c r="C75">
        <f t="shared" ref="C75:C109" ca="1" si="3">MAX(B75-$B$2, 0)</f>
        <v>0</v>
      </c>
    </row>
    <row r="76" spans="2:3" x14ac:dyDescent="0.2">
      <c r="B76">
        <f t="shared" ca="1" si="2"/>
        <v>206.99334362747578</v>
      </c>
      <c r="C76">
        <f t="shared" ca="1" si="3"/>
        <v>0</v>
      </c>
    </row>
    <row r="77" spans="2:3" x14ac:dyDescent="0.2">
      <c r="B77">
        <f t="shared" ca="1" si="2"/>
        <v>149.45189968120087</v>
      </c>
      <c r="C77">
        <f t="shared" ca="1" si="3"/>
        <v>0</v>
      </c>
    </row>
    <row r="78" spans="2:3" x14ac:dyDescent="0.2">
      <c r="B78">
        <f t="shared" ca="1" si="2"/>
        <v>269.00030039293051</v>
      </c>
      <c r="C78">
        <f t="shared" ca="1" si="3"/>
        <v>54.000300392930512</v>
      </c>
    </row>
    <row r="79" spans="2:3" x14ac:dyDescent="0.2">
      <c r="B79">
        <f t="shared" ca="1" si="2"/>
        <v>180.28268271404104</v>
      </c>
      <c r="C79">
        <f t="shared" ca="1" si="3"/>
        <v>0</v>
      </c>
    </row>
    <row r="80" spans="2:3" x14ac:dyDescent="0.2">
      <c r="B80">
        <f t="shared" ca="1" si="2"/>
        <v>200.30944611190401</v>
      </c>
      <c r="C80">
        <f t="shared" ca="1" si="3"/>
        <v>0</v>
      </c>
    </row>
    <row r="81" spans="2:3" x14ac:dyDescent="0.2">
      <c r="B81">
        <f t="shared" ca="1" si="2"/>
        <v>269.38517684501005</v>
      </c>
      <c r="C81">
        <f t="shared" ca="1" si="3"/>
        <v>54.385176845010051</v>
      </c>
    </row>
    <row r="82" spans="2:3" x14ac:dyDescent="0.2">
      <c r="B82">
        <f t="shared" ca="1" si="2"/>
        <v>223.21629987350488</v>
      </c>
      <c r="C82">
        <f t="shared" ca="1" si="3"/>
        <v>8.2162998735048802</v>
      </c>
    </row>
    <row r="83" spans="2:3" x14ac:dyDescent="0.2">
      <c r="B83">
        <f t="shared" ca="1" si="2"/>
        <v>244.40580730665653</v>
      </c>
      <c r="C83">
        <f t="shared" ca="1" si="3"/>
        <v>29.405807306656527</v>
      </c>
    </row>
    <row r="84" spans="2:3" x14ac:dyDescent="0.2">
      <c r="B84">
        <f t="shared" ca="1" si="2"/>
        <v>395.83976149011346</v>
      </c>
      <c r="C84">
        <f t="shared" ca="1" si="3"/>
        <v>180.83976149011346</v>
      </c>
    </row>
    <row r="85" spans="2:3" x14ac:dyDescent="0.2">
      <c r="B85">
        <f t="shared" ca="1" si="2"/>
        <v>193.84373427049675</v>
      </c>
      <c r="C85">
        <f t="shared" ca="1" si="3"/>
        <v>0</v>
      </c>
    </row>
    <row r="86" spans="2:3" x14ac:dyDescent="0.2">
      <c r="B86">
        <f t="shared" ca="1" si="2"/>
        <v>157.1727431295522</v>
      </c>
      <c r="C86">
        <f t="shared" ca="1" si="3"/>
        <v>0</v>
      </c>
    </row>
    <row r="87" spans="2:3" x14ac:dyDescent="0.2">
      <c r="B87">
        <f t="shared" ca="1" si="2"/>
        <v>196.57099721679833</v>
      </c>
      <c r="C87">
        <f t="shared" ca="1" si="3"/>
        <v>0</v>
      </c>
    </row>
    <row r="88" spans="2:3" x14ac:dyDescent="0.2">
      <c r="B88">
        <f t="shared" ca="1" si="2"/>
        <v>206.24728599553666</v>
      </c>
      <c r="C88">
        <f t="shared" ca="1" si="3"/>
        <v>0</v>
      </c>
    </row>
    <row r="89" spans="2:3" x14ac:dyDescent="0.2">
      <c r="B89">
        <f t="shared" ca="1" si="2"/>
        <v>209.8045155173906</v>
      </c>
      <c r="C89">
        <f t="shared" ca="1" si="3"/>
        <v>0</v>
      </c>
    </row>
    <row r="90" spans="2:3" x14ac:dyDescent="0.2">
      <c r="B90">
        <f t="shared" ca="1" si="2"/>
        <v>258.15298173452635</v>
      </c>
      <c r="C90">
        <f t="shared" ca="1" si="3"/>
        <v>43.15298173452635</v>
      </c>
    </row>
    <row r="91" spans="2:3" x14ac:dyDescent="0.2">
      <c r="B91">
        <f t="shared" ca="1" si="2"/>
        <v>201.82188998811714</v>
      </c>
      <c r="C91">
        <f t="shared" ca="1" si="3"/>
        <v>0</v>
      </c>
    </row>
    <row r="92" spans="2:3" x14ac:dyDescent="0.2">
      <c r="B92">
        <f t="shared" ca="1" si="2"/>
        <v>273.37150914279351</v>
      </c>
      <c r="C92">
        <f t="shared" ca="1" si="3"/>
        <v>58.371509142793514</v>
      </c>
    </row>
    <row r="93" spans="2:3" x14ac:dyDescent="0.2">
      <c r="B93">
        <f t="shared" ca="1" si="2"/>
        <v>200.35205409445805</v>
      </c>
      <c r="C93">
        <f t="shared" ca="1" si="3"/>
        <v>0</v>
      </c>
    </row>
    <row r="94" spans="2:3" x14ac:dyDescent="0.2">
      <c r="B94">
        <f t="shared" ca="1" si="2"/>
        <v>164.48221478000815</v>
      </c>
      <c r="C94">
        <f t="shared" ca="1" si="3"/>
        <v>0</v>
      </c>
    </row>
    <row r="95" spans="2:3" x14ac:dyDescent="0.2">
      <c r="B95">
        <f t="shared" ca="1" si="2"/>
        <v>256.44018171111628</v>
      </c>
      <c r="C95">
        <f t="shared" ca="1" si="3"/>
        <v>41.440181711116281</v>
      </c>
    </row>
    <row r="96" spans="2:3" x14ac:dyDescent="0.2">
      <c r="B96">
        <f t="shared" ca="1" si="2"/>
        <v>229.94478132112823</v>
      </c>
      <c r="C96">
        <f t="shared" ca="1" si="3"/>
        <v>14.944781321128232</v>
      </c>
    </row>
    <row r="97" spans="2:3" x14ac:dyDescent="0.2">
      <c r="B97">
        <f t="shared" ca="1" si="2"/>
        <v>231.38334081692136</v>
      </c>
      <c r="C97">
        <f t="shared" ca="1" si="3"/>
        <v>16.383340816921361</v>
      </c>
    </row>
    <row r="98" spans="2:3" x14ac:dyDescent="0.2">
      <c r="B98">
        <f t="shared" ca="1" si="2"/>
        <v>186.15091845058029</v>
      </c>
      <c r="C98">
        <f t="shared" ca="1" si="3"/>
        <v>0</v>
      </c>
    </row>
    <row r="99" spans="2:3" x14ac:dyDescent="0.2">
      <c r="B99">
        <f t="shared" ca="1" si="2"/>
        <v>250.39567541574826</v>
      </c>
      <c r="C99">
        <f t="shared" ca="1" si="3"/>
        <v>35.395675415748258</v>
      </c>
    </row>
    <row r="100" spans="2:3" x14ac:dyDescent="0.2">
      <c r="B100">
        <f t="shared" ca="1" si="2"/>
        <v>255.14511064125307</v>
      </c>
      <c r="C100">
        <f t="shared" ca="1" si="3"/>
        <v>40.145110641253069</v>
      </c>
    </row>
    <row r="101" spans="2:3" x14ac:dyDescent="0.2">
      <c r="B101">
        <f t="shared" ca="1" si="2"/>
        <v>242.82291921205731</v>
      </c>
      <c r="C101">
        <f t="shared" ca="1" si="3"/>
        <v>27.822919212057315</v>
      </c>
    </row>
    <row r="102" spans="2:3" x14ac:dyDescent="0.2">
      <c r="B102">
        <f t="shared" ca="1" si="2"/>
        <v>215.70978180216886</v>
      </c>
      <c r="C102">
        <f t="shared" ca="1" si="3"/>
        <v>0.70978180216886244</v>
      </c>
    </row>
    <row r="103" spans="2:3" x14ac:dyDescent="0.2">
      <c r="B103">
        <f t="shared" ca="1" si="2"/>
        <v>237.856169792266</v>
      </c>
      <c r="C103">
        <f t="shared" ca="1" si="3"/>
        <v>22.856169792266002</v>
      </c>
    </row>
    <row r="104" spans="2:3" x14ac:dyDescent="0.2">
      <c r="B104">
        <f t="shared" ca="1" si="2"/>
        <v>255.12563946239425</v>
      </c>
      <c r="C104">
        <f t="shared" ca="1" si="3"/>
        <v>40.125639462394247</v>
      </c>
    </row>
    <row r="105" spans="2:3" x14ac:dyDescent="0.2">
      <c r="B105">
        <f t="shared" ca="1" si="2"/>
        <v>198.56465856633091</v>
      </c>
      <c r="C105">
        <f t="shared" ca="1" si="3"/>
        <v>0</v>
      </c>
    </row>
    <row r="106" spans="2:3" x14ac:dyDescent="0.2">
      <c r="B106">
        <f t="shared" ca="1" si="2"/>
        <v>209.04516505485418</v>
      </c>
      <c r="C106">
        <f t="shared" ca="1" si="3"/>
        <v>0</v>
      </c>
    </row>
    <row r="107" spans="2:3" x14ac:dyDescent="0.2">
      <c r="B107">
        <f t="shared" ca="1" si="2"/>
        <v>219.21046568977428</v>
      </c>
      <c r="C107">
        <f t="shared" ca="1" si="3"/>
        <v>4.2104656897742814</v>
      </c>
    </row>
    <row r="108" spans="2:3" x14ac:dyDescent="0.2">
      <c r="B108">
        <f t="shared" ca="1" si="2"/>
        <v>183.24382969840403</v>
      </c>
      <c r="C108">
        <f t="shared" ca="1" si="3"/>
        <v>0</v>
      </c>
    </row>
    <row r="109" spans="2:3" x14ac:dyDescent="0.2">
      <c r="B109">
        <f t="shared" ca="1" si="2"/>
        <v>226.70077986773296</v>
      </c>
      <c r="C109">
        <f t="shared" ca="1" si="3"/>
        <v>11.700779867732962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Q1,Q2</vt:lpstr>
      <vt:lpstr>Q3 MACD</vt:lpstr>
      <vt:lpstr> Q3 RSI</vt:lpstr>
      <vt:lpstr>Q3 BB</vt:lpstr>
      <vt:lpstr> Q3 kD</vt:lpstr>
      <vt:lpstr>Q5</vt:lpstr>
      <vt:lpstr>Q6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Aisha Ahmed</dc:creator>
  <cp:lastModifiedBy>Aisha Ahmed</cp:lastModifiedBy>
  <dcterms:created xsi:type="dcterms:W3CDTF">2025-04-10T14:42:45Z</dcterms:created>
  <dcterms:modified xsi:type="dcterms:W3CDTF">2025-04-13T22:34:24Z</dcterms:modified>
</cp:coreProperties>
</file>